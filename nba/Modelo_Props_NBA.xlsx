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do" sheetId="1" state="visible" r:id="rId3"/>
    <sheet name="Instrucciones" sheetId="2" state="visible" r:id="rId4"/>
    <sheet name="Stats Jugadores" sheetId="3" state="visible" r:id="rId5"/>
    <sheet name="Stats Equip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DATOS DE EJEMPLO aproximados (2024-25). Reemplaza pegando la tabla Per Game de basketball-reference.com desde la fila 1 (mismo orden de columnas).</t>
        </r>
      </text>
    </comment>
  </commentList>
</comments>
</file>

<file path=xl/sharedStrings.xml><?xml version="1.0" encoding="utf-8"?>
<sst xmlns="http://schemas.openxmlformats.org/spreadsheetml/2006/main" count="258" uniqueCount="224">
  <si>
    <t xml:space="preserve">Jugador:</t>
  </si>
  <si>
    <t xml:space="preserve">LaMelo Ball</t>
  </si>
  <si>
    <t xml:space="preserve">xMP:</t>
  </si>
  <si>
    <t xml:space="preserve">Rival:</t>
  </si>
  <si>
    <t xml:space="preserve">Washington Wizards</t>
  </si>
  <si>
    <t xml:space="preserve">Local:</t>
  </si>
  <si>
    <t xml:space="preserve">Sí</t>
  </si>
  <si>
    <t xml:space="preserve">Ajustes</t>
  </si>
  <si>
    <t xml:space="preserve">Local adj.</t>
  </si>
  <si>
    <t xml:space="preserve">Min. prom.</t>
  </si>
  <si>
    <t xml:space="preserve">Minuto %</t>
  </si>
  <si>
    <t xml:space="preserve">Equipo jugador</t>
  </si>
  <si>
    <t xml:space="preserve">PACE adj.</t>
  </si>
  <si>
    <t xml:space="preserve">Defensa adj.</t>
  </si>
  <si>
    <t xml:space="preserve">Off Reb adj.</t>
  </si>
  <si>
    <t xml:space="preserve">Def Reb adj.</t>
  </si>
  <si>
    <t xml:space="preserve">Ast adj.</t>
  </si>
  <si>
    <t xml:space="preserve">3PM adj.</t>
  </si>
  <si>
    <t xml:space="preserve">Factor base</t>
  </si>
  <si>
    <t xml:space="preserve">Fila jugador</t>
  </si>
  <si>
    <t xml:space="preserve">Fila equipo</t>
  </si>
  <si>
    <t xml:space="preserve">Tiro</t>
  </si>
  <si>
    <t xml:space="preserve">2PA proy.</t>
  </si>
  <si>
    <t xml:space="preserve">2P%</t>
  </si>
  <si>
    <t xml:space="preserve">3PA proy.</t>
  </si>
  <si>
    <t xml:space="preserve">3P%</t>
  </si>
  <si>
    <t xml:space="preserve">FTA proy.</t>
  </si>
  <si>
    <t xml:space="preserve">FT%</t>
  </si>
  <si>
    <t xml:space="preserve">ORB proy.</t>
  </si>
  <si>
    <t xml:space="preserve">DRB proy.</t>
  </si>
  <si>
    <t xml:space="preserve">Ast proy.</t>
  </si>
  <si>
    <t xml:space="preserve">3PM proy.</t>
  </si>
  <si>
    <t xml:space="preserve">Puntos adj.</t>
  </si>
  <si>
    <t xml:space="preserve">Fila rival</t>
  </si>
  <si>
    <t xml:space="preserve">Props</t>
  </si>
  <si>
    <t xml:space="preserve">Mercado</t>
  </si>
  <si>
    <t xml:space="preserve">Proyección</t>
  </si>
  <si>
    <t xml:space="preserve">Promedio temporada</t>
  </si>
  <si>
    <t xml:space="preserve">Línea</t>
  </si>
  <si>
    <t xml:space="preserve">Cuota Over (US)</t>
  </si>
  <si>
    <t xml:space="preserve">Cuota Under (US)</t>
  </si>
  <si>
    <t xml:space="preserve">Prob. Over</t>
  </si>
  <si>
    <t xml:space="preserve">Prob. Under</t>
  </si>
  <si>
    <t xml:space="preserve">Prob. implícita Over</t>
  </si>
  <si>
    <t xml:space="preserve">Prob. implícita Under</t>
  </si>
  <si>
    <t xml:space="preserve">Edge Over</t>
  </si>
  <si>
    <t xml:space="preserve">Edge Under</t>
  </si>
  <si>
    <t xml:space="preserve">Pick</t>
  </si>
  <si>
    <t xml:space="preserve">Puntos</t>
  </si>
  <si>
    <t xml:space="preserve">Rebotes</t>
  </si>
  <si>
    <t xml:space="preserve">Asistencias</t>
  </si>
  <si>
    <t xml:space="preserve">Triples</t>
  </si>
  <si>
    <t xml:space="preserve">PRA</t>
  </si>
  <si>
    <t xml:space="preserve">Pts+Reb</t>
  </si>
  <si>
    <t xml:space="preserve">Pts+Ast</t>
  </si>
  <si>
    <t xml:space="preserve">Reb+Ast</t>
  </si>
  <si>
    <t xml:space="preserve">Robos</t>
  </si>
  <si>
    <t xml:space="preserve">Tapones</t>
  </si>
  <si>
    <t xml:space="preserve">Leyenda: celdas AMARILLAS con texto azul = entradas que tú llenas (jugador, rival, minutos, local, línea y cuotas). Verde = datos jalados de otras hojas. Negro = fórmulas.</t>
  </si>
  <si>
    <t xml:space="preserve">Las líneas y cuotas de ejemplo son ficticias. Los datos de jugadores/equipos son EJEMPLOS aproximados: actualízalos antes de usar el modelo.</t>
  </si>
  <si>
    <t xml:space="preserve">CÓMO USAR EL MODELO DE PROPS NBA</t>
  </si>
  <si>
    <t xml:space="preserve">1. Actualiza 'Stats Jugadores': en basketball-reference.com &gt; Season &gt; Per Game Stats, copia la tabla y pégala en A1 (mismo orden de columnas: Rk, Player, Age, Team, Pos, G, GS, MP, FG ... PTS).</t>
  </si>
  <si>
    <t xml:space="preserve">   Si un jugador fue traspasado aparece varias veces (2TM, 3TM): borra esas filas y deja la de su equipo actual.</t>
  </si>
  <si>
    <t xml:space="preserve">2. Actualiza 'Stats Equipos' con teamrankings.com: Pace = Possessions per Game; ORB% = Offensive Rebounding %; DRB% = Defensive Rebounding %;</t>
  </si>
  <si>
    <t xml:space="preserve">   Pts/Ast/3PM permitidos = Opponent Points / Opponent Assists / Opponent Three Pointers Made per Game. La columna Abrev debe coincidir con 'Team' de basketball-reference (CHO, PHO, BRK...).</t>
  </si>
  <si>
    <t xml:space="preserve">3. En 'Resultado' elige jugador y rival (listas desplegables), escribe minutos esperados (xMP) y si juega de local (Sí/No).</t>
  </si>
  <si>
    <t xml:space="preserve">4. Escribe la línea de la casa de apuestas y las cuotas americanas (ej. -115, +105). El modelo calcula probabilidad, edge y pick (OVER / UNDER / PASS).</t>
  </si>
  <si>
    <t xml:space="preserve">CÓMO CALCULA</t>
  </si>
  <si>
    <t xml:space="preserve">• Minuto % = xMP / minutos promedio.   • PACE adj. = pace promedio de ambos equipos / pace del equipo del jugador.</t>
  </si>
  <si>
    <t xml:space="preserve">• Defensa adj. = puntos permitidos por posesión del rival / promedio de liga (igual para asistencias y triples).</t>
  </si>
  <si>
    <t xml:space="preserve">• Off Reb adj. = (1 − DRB% rival) / (1 − DRB% liga).   Def Reb adj. = (1 − ORB% rival) / (1 − ORB% liga).</t>
  </si>
  <si>
    <t xml:space="preserve">• Factor base = Minuto % × PACE adj. × Local adj.  Cada estadística por partido se multiplica por el factor base y su ajuste.</t>
  </si>
  <si>
    <t xml:space="preserve">• Puntos = (2PA×2P%×2 + 3PA×3P%×3 + FTA×FT%) × Defensa adj.</t>
  </si>
  <si>
    <t xml:space="preserve">• Probabilidad Over = 1 − Normal(línea; proyección; proyección×CV). Los CV están en 'Parametros' y son supuestos editables.</t>
  </si>
  <si>
    <t xml:space="preserve">• Prob. implícita: cuota negativa → −c/(−c+100); positiva → 100/(c+100). Edge = prob. modelo − prob. implícita.</t>
  </si>
  <si>
    <t xml:space="preserve">Herramienta educativa: no garantiza resultados. Apuesta con responsabilidad.</t>
  </si>
  <si>
    <t xml:space="preserve">Rk</t>
  </si>
  <si>
    <t xml:space="preserve">Player</t>
  </si>
  <si>
    <t xml:space="preserve">Age</t>
  </si>
  <si>
    <t xml:space="preserve">Team</t>
  </si>
  <si>
    <t xml:space="preserve">Pos</t>
  </si>
  <si>
    <t xml:space="preserve">G</t>
  </si>
  <si>
    <t xml:space="preserve">GS</t>
  </si>
  <si>
    <t xml:space="preserve">MP</t>
  </si>
  <si>
    <t xml:space="preserve">FG</t>
  </si>
  <si>
    <t xml:space="preserve">FGA</t>
  </si>
  <si>
    <t xml:space="preserve">FG%</t>
  </si>
  <si>
    <t xml:space="preserve">3P</t>
  </si>
  <si>
    <t xml:space="preserve">3PA</t>
  </si>
  <si>
    <t xml:space="preserve">2P</t>
  </si>
  <si>
    <t xml:space="preserve">2PA</t>
  </si>
  <si>
    <t xml:space="preserve">eFG%</t>
  </si>
  <si>
    <t xml:space="preserve">FT</t>
  </si>
  <si>
    <t xml:space="preserve">FTA</t>
  </si>
  <si>
    <t xml:space="preserve">ORB</t>
  </si>
  <si>
    <t xml:space="preserve">DRB</t>
  </si>
  <si>
    <t xml:space="preserve">TRB</t>
  </si>
  <si>
    <t xml:space="preserve">AST</t>
  </si>
  <si>
    <t xml:space="preserve">STL</t>
  </si>
  <si>
    <t xml:space="preserve">BLK</t>
  </si>
  <si>
    <t xml:space="preserve">TOV</t>
  </si>
  <si>
    <t xml:space="preserve">PF</t>
  </si>
  <si>
    <t xml:space="preserve">PTS</t>
  </si>
  <si>
    <t xml:space="preserve">Shai Gilgeous-Alexander</t>
  </si>
  <si>
    <t xml:space="preserve">OKC</t>
  </si>
  <si>
    <t xml:space="preserve">Giannis Antetokounmpo</t>
  </si>
  <si>
    <t xml:space="preserve">MIL</t>
  </si>
  <si>
    <t xml:space="preserve">Nikola Jokić</t>
  </si>
  <si>
    <t xml:space="preserve">DEN</t>
  </si>
  <si>
    <t xml:space="preserve">Luka Dončić</t>
  </si>
  <si>
    <t xml:space="preserve">LAL</t>
  </si>
  <si>
    <t xml:space="preserve">CHO</t>
  </si>
  <si>
    <t xml:space="preserve">Anthony Edwards</t>
  </si>
  <si>
    <t xml:space="preserve">MIN</t>
  </si>
  <si>
    <t xml:space="preserve">Jayson Tatum</t>
  </si>
  <si>
    <t xml:space="preserve">BOS</t>
  </si>
  <si>
    <t xml:space="preserve">Kevin Durant</t>
  </si>
  <si>
    <t xml:space="preserve">PHO</t>
  </si>
  <si>
    <t xml:space="preserve">Cade Cunningham</t>
  </si>
  <si>
    <t xml:space="preserve">DET</t>
  </si>
  <si>
    <t xml:space="preserve">Donovan Mitchell</t>
  </si>
  <si>
    <t xml:space="preserve">CLE</t>
  </si>
  <si>
    <t xml:space="preserve">Stephen Curry</t>
  </si>
  <si>
    <t xml:space="preserve">GSW</t>
  </si>
  <si>
    <t xml:space="preserve">LeBron James</t>
  </si>
  <si>
    <t xml:space="preserve">Victor Wembanyama</t>
  </si>
  <si>
    <t xml:space="preserve">SAS</t>
  </si>
  <si>
    <t xml:space="preserve">Tyrese Maxey</t>
  </si>
  <si>
    <t xml:space="preserve">PHI</t>
  </si>
  <si>
    <t xml:space="preserve">Jalen Brunson</t>
  </si>
  <si>
    <t xml:space="preserve">NYK</t>
  </si>
  <si>
    <t xml:space="preserve">Karl-Anthony Towns</t>
  </si>
  <si>
    <t xml:space="preserve">Devin Booker</t>
  </si>
  <si>
    <t xml:space="preserve">Damian Lillard</t>
  </si>
  <si>
    <t xml:space="preserve">Trae Young</t>
  </si>
  <si>
    <t xml:space="preserve">ATL</t>
  </si>
  <si>
    <t xml:space="preserve">Anthony Davis</t>
  </si>
  <si>
    <t xml:space="preserve">DAL</t>
  </si>
  <si>
    <t xml:space="preserve">Paolo Banchero</t>
  </si>
  <si>
    <t xml:space="preserve">ORL</t>
  </si>
  <si>
    <t xml:space="preserve">Domantas Sabonis</t>
  </si>
  <si>
    <t xml:space="preserve">SAC</t>
  </si>
  <si>
    <t xml:space="preserve">Ja Morant</t>
  </si>
  <si>
    <t xml:space="preserve">MEM</t>
  </si>
  <si>
    <t xml:space="preserve">Jaylen Brown</t>
  </si>
  <si>
    <t xml:space="preserve">Zion Williamson</t>
  </si>
  <si>
    <t xml:space="preserve">NOP</t>
  </si>
  <si>
    <t xml:space="preserve">Alperen Şengün</t>
  </si>
  <si>
    <t xml:space="preserve">HOU</t>
  </si>
  <si>
    <t xml:space="preserve">James Harden</t>
  </si>
  <si>
    <t xml:space="preserve">LAC</t>
  </si>
  <si>
    <t xml:space="preserve">Jamal Murray</t>
  </si>
  <si>
    <t xml:space="preserve">Jalen Williams</t>
  </si>
  <si>
    <t xml:space="preserve">Abrev</t>
  </si>
  <si>
    <t xml:space="preserve">Equipo</t>
  </si>
  <si>
    <t xml:space="preserve">Pace</t>
  </si>
  <si>
    <t xml:space="preserve">ORB%</t>
  </si>
  <si>
    <t xml:space="preserve">DRB%</t>
  </si>
  <si>
    <t xml:space="preserve">Pts permitidos</t>
  </si>
  <si>
    <t xml:space="preserve">Ast permitidas</t>
  </si>
  <si>
    <t xml:space="preserve">3PM permitidos</t>
  </si>
  <si>
    <t xml:space="preserve">Atlanta Hawks</t>
  </si>
  <si>
    <t xml:space="preserve">Boston Celtics</t>
  </si>
  <si>
    <t xml:space="preserve">BRK</t>
  </si>
  <si>
    <t xml:space="preserve">Brooklyn Nets</t>
  </si>
  <si>
    <t xml:space="preserve">Charlotte Hornets</t>
  </si>
  <si>
    <t xml:space="preserve">CHI</t>
  </si>
  <si>
    <t xml:space="preserve">Chicago Bulls</t>
  </si>
  <si>
    <t xml:space="preserve">Cleveland Cavaliers</t>
  </si>
  <si>
    <t xml:space="preserve">Dallas Mavericks</t>
  </si>
  <si>
    <t xml:space="preserve">Denver Nuggets</t>
  </si>
  <si>
    <t xml:space="preserve">Detroit Pistons</t>
  </si>
  <si>
    <t xml:space="preserve">Golden State Warriors</t>
  </si>
  <si>
    <t xml:space="preserve">Houston Rockets</t>
  </si>
  <si>
    <t xml:space="preserve">IND</t>
  </si>
  <si>
    <t xml:space="preserve">Indiana Pacers</t>
  </si>
  <si>
    <t xml:space="preserve">LA Clippers</t>
  </si>
  <si>
    <t xml:space="preserve">Los Angeles Lakers</t>
  </si>
  <si>
    <t xml:space="preserve">Memphis Grizzlies</t>
  </si>
  <si>
    <t xml:space="preserve">MIA</t>
  </si>
  <si>
    <t xml:space="preserve">Miami Heat</t>
  </si>
  <si>
    <t xml:space="preserve">Milwaukee Bucks</t>
  </si>
  <si>
    <t xml:space="preserve">Minnesota Timberwolves</t>
  </si>
  <si>
    <t xml:space="preserve">New Orleans Pelicans</t>
  </si>
  <si>
    <t xml:space="preserve">New York Knicks</t>
  </si>
  <si>
    <t xml:space="preserve">Oklahoma City Thunder</t>
  </si>
  <si>
    <t xml:space="preserve">Orlando Magic</t>
  </si>
  <si>
    <t xml:space="preserve">Philadelphia 76ers</t>
  </si>
  <si>
    <t xml:space="preserve">Phoenix Suns</t>
  </si>
  <si>
    <t xml:space="preserve">POR</t>
  </si>
  <si>
    <t xml:space="preserve">Portland Trail Blazers</t>
  </si>
  <si>
    <t xml:space="preserve">Sacramento Kings</t>
  </si>
  <si>
    <t xml:space="preserve">San Antonio Spurs</t>
  </si>
  <si>
    <t xml:space="preserve">TOR</t>
  </si>
  <si>
    <t xml:space="preserve">Toronto Raptors</t>
  </si>
  <si>
    <t xml:space="preserve">UTA</t>
  </si>
  <si>
    <t xml:space="preserve">Utah Jazz</t>
  </si>
  <si>
    <t xml:space="preserve">WAS</t>
  </si>
  <si>
    <t xml:space="preserve">Fuente sugerida: teamrankings.com (Possessions per Game, Offensive/Defensive Rebounding %, Opponent Points/Assists/3PM per Game). Valores actuales = EJEMPLO aproximado 2024-25.</t>
  </si>
  <si>
    <t xml:space="preserve">Parámetro</t>
  </si>
  <si>
    <t xml:space="preserve">Valor</t>
  </si>
  <si>
    <t xml:space="preserve">Nota</t>
  </si>
  <si>
    <t xml:space="preserve">Ventaja de local (±)</t>
  </si>
  <si>
    <t xml:space="preserve">Supuesto: +1% local / -1% visitante</t>
  </si>
  <si>
    <t xml:space="preserve">Edge mínimo para apostar</t>
  </si>
  <si>
    <t xml:space="preserve">Supuesto: prob. modelo − prob. implícita</t>
  </si>
  <si>
    <t xml:space="preserve">CV Puntos</t>
  </si>
  <si>
    <t xml:space="preserve">Desv. estándar = proyección × CV (supuesto)</t>
  </si>
  <si>
    <t xml:space="preserve">CV Rebotes</t>
  </si>
  <si>
    <t xml:space="preserve">CV Asistencias</t>
  </si>
  <si>
    <t xml:space="preserve">CV Triples</t>
  </si>
  <si>
    <t xml:space="preserve">CV PRA</t>
  </si>
  <si>
    <t xml:space="preserve">CV Pts+Reb</t>
  </si>
  <si>
    <t xml:space="preserve">CV Pts+Ast</t>
  </si>
  <si>
    <t xml:space="preserve">CV Reb+Ast</t>
  </si>
  <si>
    <t xml:space="preserve">CV Robos</t>
  </si>
  <si>
    <t xml:space="preserve">CV Tapones</t>
  </si>
  <si>
    <t xml:space="preserve">Promedios de liga (calculados)</t>
  </si>
  <si>
    <t xml:space="preserve">Pace promedio</t>
  </si>
  <si>
    <t xml:space="preserve">ORB% promedio</t>
  </si>
  <si>
    <t xml:space="preserve">DRB% promedio</t>
  </si>
  <si>
    <t xml:space="preserve">Pts permitidos por posesión</t>
  </si>
  <si>
    <t xml:space="preserve">Ast permitidas por posesión</t>
  </si>
  <si>
    <t xml:space="preserve">3PM permitidos por posesión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</si>
</sst>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.0%"/>
    <numFmt numFmtId="167" formatCode="@"/>
    <numFmt numFmtId="168" formatCode="0.00"/>
    <numFmt numFmtId="169" formatCode="0.000"/>
    <numFmt numFmtId="170" formatCode="\+0;\-0"/>
    <numFmt numFmtId="171" formatCode="\+0.0%;\-0.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6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183"/>
      </patternFill>
    </fill>
    <fill>
      <patternFill patternType="solid">
        <fgColor rgb="FFF4B183"/>
        <bgColor rgb="FFFFC7CE"/>
      </patternFill>
    </fill>
    <fill>
      <patternFill patternType="solid">
        <fgColor rgb="FFD9D9D9"/>
        <bgColor rgb="FFC6EFCE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4B183"/>
      <rgbColor rgb="FFCC99FF"/>
      <rgbColor rgb="FFFFC7CE"/>
      <rgbColor rgb="FF3366FF"/>
      <rgbColor rgb="FF33CCCC"/>
      <rgbColor rgb="FF99CC00"/>
      <rgbColor rgb="FFFFD966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15" hidden="false" customHeight="false" outlineLevel="0" collapsed="false">
      <c r="B2" s="1" t="s">
        <v>0</v>
      </c>
      <c r="C2" s="1"/>
      <c r="D2" s="2" t="s">
        <v>1</v>
      </c>
      <c r="E2" s="2"/>
      <c r="F2" s="2"/>
      <c r="G2" s="2"/>
      <c r="H2" s="2"/>
      <c r="I2" s="2"/>
      <c r="J2" s="2"/>
      <c r="K2" s="3" t="s">
        <v>2</v>
      </c>
      <c r="L2" s="3"/>
      <c r="M2" s="4" t="n">
        <v>34</v>
      </c>
      <c r="N2" s="4"/>
    </row>
    <row r="3" customFormat="false" ht="15" hidden="false" customHeight="false" outlineLevel="0" collapsed="false">
      <c r="B3" s="1"/>
      <c r="C3" s="1"/>
      <c r="D3" s="2"/>
      <c r="E3" s="2"/>
      <c r="F3" s="2"/>
      <c r="G3" s="2"/>
      <c r="H3" s="2"/>
      <c r="I3" s="2"/>
      <c r="J3" s="2"/>
      <c r="K3" s="3"/>
      <c r="L3" s="3"/>
      <c r="M3" s="4"/>
      <c r="N3" s="4"/>
    </row>
    <row r="4" customFormat="false" ht="15" hidden="false" customHeight="false" outlineLevel="0" collapsed="false">
      <c r="B4" s="5" t="s">
        <v>3</v>
      </c>
      <c r="C4" s="5"/>
      <c r="D4" s="2" t="s">
        <v>4</v>
      </c>
      <c r="E4" s="2"/>
      <c r="F4" s="2"/>
      <c r="G4" s="2"/>
      <c r="H4" s="2"/>
      <c r="I4" s="2"/>
      <c r="J4" s="2"/>
      <c r="K4" s="6" t="s">
        <v>5</v>
      </c>
      <c r="L4" s="6"/>
      <c r="M4" s="2" t="s">
        <v>6</v>
      </c>
      <c r="N4" s="2"/>
    </row>
    <row r="5" customFormat="false" ht="15" hidden="false" customHeight="false" outlineLevel="0" collapsed="false">
      <c r="B5" s="5"/>
      <c r="C5" s="5"/>
      <c r="D5" s="2"/>
      <c r="E5" s="2"/>
      <c r="F5" s="2"/>
      <c r="G5" s="2"/>
      <c r="H5" s="2"/>
      <c r="I5" s="2"/>
      <c r="J5" s="2"/>
      <c r="K5" s="6"/>
      <c r="L5" s="6"/>
      <c r="M5" s="2"/>
      <c r="N5" s="2"/>
    </row>
    <row r="7" customFormat="false" ht="15" hidden="false" customHeight="false" outlineLevel="0" collapsed="false">
      <c r="B7" s="7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13</v>
      </c>
      <c r="I7" s="8" t="s">
        <v>14</v>
      </c>
      <c r="J7" s="8" t="s">
        <v>15</v>
      </c>
      <c r="K7" s="8" t="s">
        <v>16</v>
      </c>
      <c r="L7" s="8" t="s">
        <v>17</v>
      </c>
      <c r="M7" s="8" t="s">
        <v>18</v>
      </c>
      <c r="P7" s="9" t="s">
        <v>19</v>
      </c>
    </row>
    <row r="8" customFormat="false" ht="15" hidden="false" customHeight="false" outlineLevel="0" collapsed="false">
      <c r="C8" s="10" t="n">
        <f aca="false">IF($M$4="Sí",1+Parametros!$B$2,1-Parametros!$B$2)</f>
        <v>1.01</v>
      </c>
      <c r="D8" s="11" t="n">
        <f aca="false">INDEX('Stats Jugadores'!$H:$H,$P$8)</f>
        <v>32.3</v>
      </c>
      <c r="E8" s="10" t="n">
        <f aca="false">IFERROR($M$2/D8,0)</f>
        <v>1.05263157894737</v>
      </c>
      <c r="F8" s="12" t="str">
        <f aca="false">INDEX('Stats Jugadores'!$D:$D,$P$8)</f>
        <v>CHO</v>
      </c>
      <c r="G8" s="13" t="n">
        <f aca="false">((INDEX('Stats Equipos'!$C:$C,$P$10)+INDEX('Stats Equipos'!$C:$C,$P$12))/2)/INDEX('Stats Equipos'!$C:$C,$P$10)</f>
        <v>1.01322482197355</v>
      </c>
      <c r="H8" s="14" t="n">
        <f aca="false">(INDEX('Stats Equipos'!$F:$F,$P$12)/INDEX('Stats Equipos'!$C:$C,$P$12))/Parametros!$B$20</f>
        <v>1.04549916116037</v>
      </c>
      <c r="I8" s="14" t="n">
        <f aca="false">(1-INDEX('Stats Equipos'!$E:$E,$P$12))/(1-Parametros!$B$19)</f>
        <v>1.08173076923077</v>
      </c>
      <c r="J8" s="14" t="n">
        <f aca="false">(1-INDEX('Stats Equipos'!$D:$D,$P$12))/(1-Parametros!$B$18)</f>
        <v>1.01295097132285</v>
      </c>
      <c r="K8" s="14" t="n">
        <f aca="false">(INDEX('Stats Equipos'!$G:$G,$P$12)/INDEX('Stats Equipos'!$C:$C,$P$12))/Parametros!$B$21</f>
        <v>1.06622235253024</v>
      </c>
      <c r="L8" s="14" t="n">
        <f aca="false">(INDEX('Stats Equipos'!$H:$H,$P$12)/INDEX('Stats Equipos'!$C:$C,$P$12))/Parametros!$B$22</f>
        <v>1.05357789946629</v>
      </c>
      <c r="M8" s="15" t="n">
        <f aca="false">E8*G8*C8</f>
        <v>1.07721796862451</v>
      </c>
      <c r="P8" s="9" t="n">
        <f aca="false">MATCH($D$2,'Stats Jugadores'!$B:$B,0)</f>
        <v>6</v>
      </c>
    </row>
    <row r="9" customFormat="false" ht="15" hidden="false" customHeight="false" outlineLevel="0" collapsed="false">
      <c r="P9" s="9" t="s">
        <v>20</v>
      </c>
    </row>
    <row r="10" customFormat="false" ht="15" hidden="false" customHeight="false" outlineLevel="0" collapsed="false">
      <c r="B10" s="7" t="s">
        <v>21</v>
      </c>
      <c r="C10" s="8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8" t="s">
        <v>32</v>
      </c>
      <c r="P10" s="9" t="n">
        <f aca="false">MATCH($F$8,'Stats Equipos'!$A:$A,0)</f>
        <v>5</v>
      </c>
    </row>
    <row r="11" customFormat="false" ht="15" hidden="false" customHeight="false" outlineLevel="0" collapsed="false">
      <c r="C11" s="11" t="n">
        <f aca="false">INDEX('Stats Jugadores'!$P:$P,$P$8)*$M$8</f>
        <v>12.9266156234941</v>
      </c>
      <c r="D11" s="16" t="n">
        <f aca="false">IFERROR(INDEX('Stats Jugadores'!$O:$O,$P$8)/INDEX('Stats Jugadores'!$P:$P,$P$8),0)</f>
        <v>0.45</v>
      </c>
      <c r="E11" s="11" t="n">
        <f aca="false">INDEX('Stats Jugadores'!$M:$M,$P$8)*$M$8</f>
        <v>12.7111720297692</v>
      </c>
      <c r="F11" s="16" t="n">
        <f aca="false">IFERROR(INDEX('Stats Jugadores'!$L:$L,$P$8)/INDEX('Stats Jugadores'!$M:$M,$P$8),0)</f>
        <v>0.355932203389831</v>
      </c>
      <c r="G11" s="11" t="n">
        <f aca="false">INDEX('Stats Jugadores'!$T:$T,$P$8)*$M$8</f>
        <v>5.17064624939765</v>
      </c>
      <c r="H11" s="16" t="n">
        <f aca="false">IFERROR(INDEX('Stats Jugadores'!$S:$S,$P$8)/INDEX('Stats Jugadores'!$T:$T,$P$8),0)</f>
        <v>0.854166666666667</v>
      </c>
      <c r="I11" s="11" t="n">
        <f aca="false">INDEX('Stats Jugadores'!$V:$V,$P$8)*$M$8*I8</f>
        <v>1.28178580401234</v>
      </c>
      <c r="J11" s="11" t="n">
        <f aca="false">INDEX('Stats Jugadores'!$W:$W,$P$8)*$M$8*J8</f>
        <v>4.14644215304958</v>
      </c>
      <c r="K11" s="11" t="n">
        <f aca="false">INDEX('Stats Jugadores'!$Y:$Y,$P$8)*$M$8*K8</f>
        <v>8.49929868754058</v>
      </c>
      <c r="L11" s="17" t="n">
        <f aca="false">E11*F11*L8</f>
        <v>4.76671878753316</v>
      </c>
      <c r="M11" s="17" t="n">
        <f aca="false">(C11*D11*2+E11*F11*3+G11*H11)*H8</f>
        <v>30.9713382710547</v>
      </c>
      <c r="P11" s="9" t="s">
        <v>33</v>
      </c>
    </row>
    <row r="12" customFormat="false" ht="15" hidden="false" customHeight="false" outlineLevel="0" collapsed="false">
      <c r="P12" s="9" t="n">
        <f aca="false">MATCH($D$4,'Stats Equipos'!$B:$B,0)</f>
        <v>31</v>
      </c>
    </row>
    <row r="13" customFormat="false" ht="15" hidden="false" customHeight="false" outlineLevel="0" collapsed="false">
      <c r="B13" s="18" t="s">
        <v>34</v>
      </c>
    </row>
    <row r="14" customFormat="false" ht="30" hidden="false" customHeight="true" outlineLevel="0" collapsed="false">
      <c r="B14" s="19" t="s">
        <v>35</v>
      </c>
      <c r="C14" s="19" t="s">
        <v>36</v>
      </c>
      <c r="D14" s="19" t="s">
        <v>37</v>
      </c>
      <c r="E14" s="19" t="s">
        <v>38</v>
      </c>
      <c r="F14" s="19" t="s">
        <v>39</v>
      </c>
      <c r="G14" s="19" t="s">
        <v>40</v>
      </c>
      <c r="H14" s="19" t="s">
        <v>41</v>
      </c>
      <c r="I14" s="19" t="s">
        <v>42</v>
      </c>
      <c r="J14" s="19" t="s">
        <v>43</v>
      </c>
      <c r="K14" s="19" t="s">
        <v>44</v>
      </c>
      <c r="L14" s="19" t="s">
        <v>45</v>
      </c>
      <c r="M14" s="19" t="s">
        <v>46</v>
      </c>
      <c r="N14" s="19" t="s">
        <v>47</v>
      </c>
    </row>
    <row r="15" customFormat="false" ht="15" hidden="false" customHeight="false" outlineLevel="0" collapsed="false">
      <c r="B15" s="20" t="s">
        <v>48</v>
      </c>
      <c r="C15" s="21" t="n">
        <f aca="false">M11</f>
        <v>30.9713382710547</v>
      </c>
      <c r="D15" s="11" t="n">
        <f aca="false">INDEX('Stats Jugadores'!$AD:$AD,$P$8)</f>
        <v>27.5</v>
      </c>
      <c r="E15" s="22" t="n">
        <v>26.5</v>
      </c>
      <c r="F15" s="23" t="n">
        <v>-115</v>
      </c>
      <c r="G15" s="23" t="n">
        <v>-105</v>
      </c>
      <c r="H15" s="24" t="n">
        <f aca="false">IF(E15="","",1-NORMDIST(E15,C15,MAX(0.5,C15*Parametros!$B$4),TRUE()))</f>
        <v>0.718192646139883</v>
      </c>
      <c r="I15" s="24" t="n">
        <f aca="false">IF(E15="","",1-H15)</f>
        <v>0.281807353860117</v>
      </c>
      <c r="J15" s="24" t="n">
        <f aca="false">IF(F15="","",IF(F15&lt;0,-F15/(-F15+100),100/(F15+100)))</f>
        <v>0.534883720930233</v>
      </c>
      <c r="K15" s="24" t="n">
        <f aca="false">IF(G15="","",IF(G15&lt;0,-G15/(-G15+100),100/(G15+100)))</f>
        <v>0.51219512195122</v>
      </c>
      <c r="L15" s="25" t="n">
        <f aca="false">IF(OR(H15="",J15=""),"",H15-J15)</f>
        <v>0.18330892520965</v>
      </c>
      <c r="M15" s="25" t="n">
        <f aca="false">IF(OR(I15="",K15=""),"",I15-K15)</f>
        <v>-0.230387768091102</v>
      </c>
      <c r="N15" s="20" t="str">
        <f aca="false">IF(E15="","",IF(AND(L15&lt;&gt;"",L15&gt;=Parametros!$B$3),"OVER",IF(AND(M15&lt;&gt;"",M15&gt;=Parametros!$B$3),"UNDER","PASS")))</f>
        <v>OVER</v>
      </c>
    </row>
    <row r="16" customFormat="false" ht="15" hidden="false" customHeight="false" outlineLevel="0" collapsed="false">
      <c r="B16" s="20" t="s">
        <v>49</v>
      </c>
      <c r="C16" s="21" t="n">
        <f aca="false">I11+J11</f>
        <v>5.42822795706192</v>
      </c>
      <c r="D16" s="11" t="n">
        <f aca="false">INDEX('Stats Jugadores'!$X:$X,$P$8)</f>
        <v>4.9</v>
      </c>
      <c r="E16" s="22" t="n">
        <v>5.5</v>
      </c>
      <c r="F16" s="23" t="n">
        <v>-110</v>
      </c>
      <c r="G16" s="23" t="n">
        <v>-110</v>
      </c>
      <c r="H16" s="24" t="n">
        <f aca="false">IF(E16="","",1-NORMDIST(E16,C16,MAX(0.5,C16*Parametros!$B$5),TRUE()))</f>
        <v>0.484932681654492</v>
      </c>
      <c r="I16" s="24" t="n">
        <f aca="false">IF(E16="","",1-H16)</f>
        <v>0.515067318345508</v>
      </c>
      <c r="J16" s="24" t="n">
        <f aca="false">IF(F16="","",IF(F16&lt;0,-F16/(-F16+100),100/(F16+100)))</f>
        <v>0.523809523809524</v>
      </c>
      <c r="K16" s="24" t="n">
        <f aca="false">IF(G16="","",IF(G16&lt;0,-G16/(-G16+100),100/(G16+100)))</f>
        <v>0.523809523809524</v>
      </c>
      <c r="L16" s="25" t="n">
        <f aca="false">IF(OR(H16="",J16=""),"",H16-J16)</f>
        <v>-0.0388768421550314</v>
      </c>
      <c r="M16" s="25" t="n">
        <f aca="false">IF(OR(I16="",K16=""),"",I16-K16)</f>
        <v>-0.00874220546401627</v>
      </c>
      <c r="N16" s="20" t="str">
        <f aca="false">IF(E16="","",IF(AND(L16&lt;&gt;"",L16&gt;=Parametros!$B$3),"OVER",IF(AND(M16&lt;&gt;"",M16&gt;=Parametros!$B$3),"UNDER","PASS")))</f>
        <v>PASS</v>
      </c>
    </row>
    <row r="17" customFormat="false" ht="15" hidden="false" customHeight="false" outlineLevel="0" collapsed="false">
      <c r="B17" s="20" t="s">
        <v>50</v>
      </c>
      <c r="C17" s="21" t="n">
        <f aca="false">K11</f>
        <v>8.49929868754058</v>
      </c>
      <c r="D17" s="11" t="n">
        <f aca="false">INDEX('Stats Jugadores'!$Y:$Y,$P$8)</f>
        <v>7.4</v>
      </c>
      <c r="E17" s="22" t="n">
        <v>7.5</v>
      </c>
      <c r="F17" s="23" t="n">
        <v>-120</v>
      </c>
      <c r="G17" s="23" t="n">
        <v>100</v>
      </c>
      <c r="H17" s="24" t="n">
        <f aca="false">IF(E17="","",1-NORMDIST(E17,C17,MAX(0.5,C17*Parametros!$B$6),TRUE()))</f>
        <v>0.615596454566289</v>
      </c>
      <c r="I17" s="24" t="n">
        <f aca="false">IF(E17="","",1-H17)</f>
        <v>0.384403545433711</v>
      </c>
      <c r="J17" s="24" t="n">
        <f aca="false">IF(F17="","",IF(F17&lt;0,-F17/(-F17+100),100/(F17+100)))</f>
        <v>0.545454545454545</v>
      </c>
      <c r="K17" s="24" t="n">
        <f aca="false">IF(G17="","",IF(G17&lt;0,-G17/(-G17+100),100/(G17+100)))</f>
        <v>0.5</v>
      </c>
      <c r="L17" s="25" t="n">
        <f aca="false">IF(OR(H17="",J17=""),"",H17-J17)</f>
        <v>0.0701419091117435</v>
      </c>
      <c r="M17" s="25" t="n">
        <f aca="false">IF(OR(I17="",K17=""),"",I17-K17)</f>
        <v>-0.115596454566289</v>
      </c>
      <c r="N17" s="20" t="str">
        <f aca="false">IF(E17="","",IF(AND(L17&lt;&gt;"",L17&gt;=Parametros!$B$3),"OVER",IF(AND(M17&lt;&gt;"",M17&gt;=Parametros!$B$3),"UNDER","PASS")))</f>
        <v>OVER</v>
      </c>
    </row>
    <row r="18" customFormat="false" ht="15" hidden="false" customHeight="false" outlineLevel="0" collapsed="false">
      <c r="B18" s="20" t="s">
        <v>51</v>
      </c>
      <c r="C18" s="21" t="n">
        <f aca="false">L11</f>
        <v>4.76671878753316</v>
      </c>
      <c r="D18" s="11" t="n">
        <f aca="false">INDEX('Stats Jugadores'!$L:$L,$P$8)</f>
        <v>4.2</v>
      </c>
      <c r="E18" s="22" t="n">
        <v>4.5</v>
      </c>
      <c r="F18" s="23" t="n">
        <v>110</v>
      </c>
      <c r="G18" s="23" t="n">
        <v>-130</v>
      </c>
      <c r="H18" s="24" t="n">
        <f aca="false">IF(E18="","",1-NORMDIST(E18,C18,MAX(0.5,C18*Parametros!$B$7),TRUE()))</f>
        <v>0.537150422118403</v>
      </c>
      <c r="I18" s="24" t="n">
        <f aca="false">IF(E18="","",1-H18)</f>
        <v>0.462849577881597</v>
      </c>
      <c r="J18" s="24" t="n">
        <f aca="false">IF(F18="","",IF(F18&lt;0,-F18/(-F18+100),100/(F18+100)))</f>
        <v>0.476190476190476</v>
      </c>
      <c r="K18" s="24" t="n">
        <f aca="false">IF(G18="","",IF(G18&lt;0,-G18/(-G18+100),100/(G18+100)))</f>
        <v>0.565217391304348</v>
      </c>
      <c r="L18" s="25" t="n">
        <f aca="false">IF(OR(H18="",J18=""),"",H18-J18)</f>
        <v>0.0609599459279272</v>
      </c>
      <c r="M18" s="25" t="n">
        <f aca="false">IF(OR(I18="",K18=""),"",I18-K18)</f>
        <v>-0.102367813422751</v>
      </c>
      <c r="N18" s="20" t="str">
        <f aca="false">IF(E18="","",IF(AND(L18&lt;&gt;"",L18&gt;=Parametros!$B$3),"OVER",IF(AND(M18&lt;&gt;"",M18&gt;=Parametros!$B$3),"UNDER","PASS")))</f>
        <v>OVER</v>
      </c>
    </row>
    <row r="19" customFormat="false" ht="15" hidden="false" customHeight="false" outlineLevel="0" collapsed="false">
      <c r="B19" s="20" t="s">
        <v>52</v>
      </c>
      <c r="C19" s="21" t="n">
        <f aca="false">C15+C16+C17</f>
        <v>44.8988649156572</v>
      </c>
      <c r="D19" s="11" t="n">
        <f aca="false">D15+D16+D17</f>
        <v>39.8</v>
      </c>
      <c r="E19" s="22" t="n">
        <v>39.5</v>
      </c>
      <c r="F19" s="23" t="n">
        <v>-110</v>
      </c>
      <c r="G19" s="23" t="n">
        <v>-110</v>
      </c>
      <c r="H19" s="24" t="n">
        <f aca="false">IF(E19="","",1-NORMDIST(E19,C19,MAX(0.5,C19*Parametros!$B$8),TRUE()))</f>
        <v>0.726154965826236</v>
      </c>
      <c r="I19" s="24" t="n">
        <f aca="false">IF(E19="","",1-H19)</f>
        <v>0.273845034173764</v>
      </c>
      <c r="J19" s="24" t="n">
        <f aca="false">IF(F19="","",IF(F19&lt;0,-F19/(-F19+100),100/(F19+100)))</f>
        <v>0.523809523809524</v>
      </c>
      <c r="K19" s="24" t="n">
        <f aca="false">IF(G19="","",IF(G19&lt;0,-G19/(-G19+100),100/(G19+100)))</f>
        <v>0.523809523809524</v>
      </c>
      <c r="L19" s="25" t="n">
        <f aca="false">IF(OR(H19="",J19=""),"",H19-J19)</f>
        <v>0.202345442016712</v>
      </c>
      <c r="M19" s="25" t="n">
        <f aca="false">IF(OR(I19="",K19=""),"",I19-K19)</f>
        <v>-0.24996448963576</v>
      </c>
      <c r="N19" s="20" t="str">
        <f aca="false">IF(E19="","",IF(AND(L19&lt;&gt;"",L19&gt;=Parametros!$B$3),"OVER",IF(AND(M19&lt;&gt;"",M19&gt;=Parametros!$B$3),"UNDER","PASS")))</f>
        <v>OVER</v>
      </c>
    </row>
    <row r="20" customFormat="false" ht="15" hidden="false" customHeight="false" outlineLevel="0" collapsed="false">
      <c r="B20" s="20" t="s">
        <v>53</v>
      </c>
      <c r="C20" s="21" t="n">
        <f aca="false">C15+C16</f>
        <v>36.3995662281166</v>
      </c>
      <c r="D20" s="11" t="n">
        <f aca="false">D15+D16</f>
        <v>32.4</v>
      </c>
      <c r="E20" s="22"/>
      <c r="F20" s="23"/>
      <c r="G20" s="23"/>
      <c r="H20" s="24" t="str">
        <f aca="false">IF(E20="","",1-NORMDIST(E20,C20,MAX(0.5,C20*Parametros!$B$9),TRUE()))</f>
        <v/>
      </c>
      <c r="I20" s="24" t="str">
        <f aca="false">IF(E20="","",1-H20)</f>
        <v/>
      </c>
      <c r="J20" s="24" t="str">
        <f aca="false">IF(F20="","",IF(F20&lt;0,-F20/(-F20+100),100/(F20+100)))</f>
        <v/>
      </c>
      <c r="K20" s="24" t="str">
        <f aca="false">IF(G20="","",IF(G20&lt;0,-G20/(-G20+100),100/(G20+100)))</f>
        <v/>
      </c>
      <c r="L20" s="25" t="str">
        <f aca="false">IF(OR(H20="",J20=""),"",H20-J20)</f>
        <v/>
      </c>
      <c r="M20" s="25" t="str">
        <f aca="false">IF(OR(I20="",K20=""),"",I20-K20)</f>
        <v/>
      </c>
      <c r="N20" s="20" t="str">
        <f aca="false">IF(E20="","",IF(AND(L20&lt;&gt;"",L20&gt;=Parametros!$B$3),"OVER",IF(AND(M20&lt;&gt;"",M20&gt;=Parametros!$B$3),"UNDER","PASS")))</f>
        <v/>
      </c>
    </row>
    <row r="21" customFormat="false" ht="15" hidden="false" customHeight="false" outlineLevel="0" collapsed="false">
      <c r="B21" s="20" t="s">
        <v>54</v>
      </c>
      <c r="C21" s="21" t="n">
        <f aca="false">C15+C17</f>
        <v>39.4706369585953</v>
      </c>
      <c r="D21" s="11" t="n">
        <f aca="false">D15+D17</f>
        <v>34.9</v>
      </c>
      <c r="E21" s="22"/>
      <c r="F21" s="23"/>
      <c r="G21" s="23"/>
      <c r="H21" s="24" t="str">
        <f aca="false">IF(E21="","",1-NORMDIST(E21,C21,MAX(0.5,C21*Parametros!$B$10),TRUE()))</f>
        <v/>
      </c>
      <c r="I21" s="24" t="str">
        <f aca="false">IF(E21="","",1-H21)</f>
        <v/>
      </c>
      <c r="J21" s="24" t="str">
        <f aca="false">IF(F21="","",IF(F21&lt;0,-F21/(-F21+100),100/(F21+100)))</f>
        <v/>
      </c>
      <c r="K21" s="24" t="str">
        <f aca="false">IF(G21="","",IF(G21&lt;0,-G21/(-G21+100),100/(G21+100)))</f>
        <v/>
      </c>
      <c r="L21" s="25" t="str">
        <f aca="false">IF(OR(H21="",J21=""),"",H21-J21)</f>
        <v/>
      </c>
      <c r="M21" s="25" t="str">
        <f aca="false">IF(OR(I21="",K21=""),"",I21-K21)</f>
        <v/>
      </c>
      <c r="N21" s="20" t="str">
        <f aca="false">IF(E21="","",IF(AND(L21&lt;&gt;"",L21&gt;=Parametros!$B$3),"OVER",IF(AND(M21&lt;&gt;"",M21&gt;=Parametros!$B$3),"UNDER","PASS")))</f>
        <v/>
      </c>
    </row>
    <row r="22" customFormat="false" ht="15" hidden="false" customHeight="false" outlineLevel="0" collapsed="false">
      <c r="B22" s="20" t="s">
        <v>55</v>
      </c>
      <c r="C22" s="21" t="n">
        <f aca="false">C16+C17</f>
        <v>13.9275266446025</v>
      </c>
      <c r="D22" s="11" t="n">
        <f aca="false">D16+D17</f>
        <v>12.3</v>
      </c>
      <c r="E22" s="22"/>
      <c r="F22" s="23"/>
      <c r="G22" s="23"/>
      <c r="H22" s="24" t="str">
        <f aca="false">IF(E22="","",1-NORMDIST(E22,C22,MAX(0.5,C22*Parametros!$B$11),TRUE()))</f>
        <v/>
      </c>
      <c r="I22" s="24" t="str">
        <f aca="false">IF(E22="","",1-H22)</f>
        <v/>
      </c>
      <c r="J22" s="24" t="str">
        <f aca="false">IF(F22="","",IF(F22&lt;0,-F22/(-F22+100),100/(F22+100)))</f>
        <v/>
      </c>
      <c r="K22" s="24" t="str">
        <f aca="false">IF(G22="","",IF(G22&lt;0,-G22/(-G22+100),100/(G22+100)))</f>
        <v/>
      </c>
      <c r="L22" s="25" t="str">
        <f aca="false">IF(OR(H22="",J22=""),"",H22-J22)</f>
        <v/>
      </c>
      <c r="M22" s="25" t="str">
        <f aca="false">IF(OR(I22="",K22=""),"",I22-K22)</f>
        <v/>
      </c>
      <c r="N22" s="20" t="str">
        <f aca="false">IF(E22="","",IF(AND(L22&lt;&gt;"",L22&gt;=Parametros!$B$3),"OVER",IF(AND(M22&lt;&gt;"",M22&gt;=Parametros!$B$3),"UNDER","PASS")))</f>
        <v/>
      </c>
    </row>
    <row r="23" customFormat="false" ht="15" hidden="false" customHeight="false" outlineLevel="0" collapsed="false">
      <c r="B23" s="20" t="s">
        <v>56</v>
      </c>
      <c r="C23" s="21" t="n">
        <f aca="false">INDEX('Stats Jugadores'!$Z:$Z,$P$8)*$M$8</f>
        <v>1.18493976548696</v>
      </c>
      <c r="D23" s="11" t="n">
        <f aca="false">INDEX('Stats Jugadores'!$Z:$Z,$P$8)</f>
        <v>1.1</v>
      </c>
      <c r="E23" s="22"/>
      <c r="F23" s="23"/>
      <c r="G23" s="23"/>
      <c r="H23" s="24" t="str">
        <f aca="false">IF(E23="","",1-NORMDIST(E23,C23,MAX(0.5,C23*Parametros!$B$12),TRUE()))</f>
        <v/>
      </c>
      <c r="I23" s="24" t="str">
        <f aca="false">IF(E23="","",1-H23)</f>
        <v/>
      </c>
      <c r="J23" s="24" t="str">
        <f aca="false">IF(F23="","",IF(F23&lt;0,-F23/(-F23+100),100/(F23+100)))</f>
        <v/>
      </c>
      <c r="K23" s="24" t="str">
        <f aca="false">IF(G23="","",IF(G23&lt;0,-G23/(-G23+100),100/(G23+100)))</f>
        <v/>
      </c>
      <c r="L23" s="25" t="str">
        <f aca="false">IF(OR(H23="",J23=""),"",H23-J23)</f>
        <v/>
      </c>
      <c r="M23" s="25" t="str">
        <f aca="false">IF(OR(I23="",K23=""),"",I23-K23)</f>
        <v/>
      </c>
      <c r="N23" s="20" t="str">
        <f aca="false">IF(E23="","",IF(AND(L23&lt;&gt;"",L23&gt;=Parametros!$B$3),"OVER",IF(AND(M23&lt;&gt;"",M23&gt;=Parametros!$B$3),"UNDER","PASS")))</f>
        <v/>
      </c>
    </row>
    <row r="24" customFormat="false" ht="15" hidden="false" customHeight="false" outlineLevel="0" collapsed="false">
      <c r="B24" s="20" t="s">
        <v>57</v>
      </c>
      <c r="C24" s="21" t="n">
        <f aca="false">INDEX('Stats Jugadores'!$AA:$AA,$P$8)*$M$8</f>
        <v>0.323165390587353</v>
      </c>
      <c r="D24" s="11" t="n">
        <f aca="false">INDEX('Stats Jugadores'!$AA:$AA,$P$8)</f>
        <v>0.3</v>
      </c>
      <c r="E24" s="22"/>
      <c r="F24" s="23"/>
      <c r="G24" s="23"/>
      <c r="H24" s="24" t="str">
        <f aca="false">IF(E24="","",1-NORMDIST(E24,C24,MAX(0.5,C24*Parametros!$B$13),TRUE()))</f>
        <v/>
      </c>
      <c r="I24" s="24" t="str">
        <f aca="false">IF(E24="","",1-H24)</f>
        <v/>
      </c>
      <c r="J24" s="24" t="str">
        <f aca="false">IF(F24="","",IF(F24&lt;0,-F24/(-F24+100),100/(F24+100)))</f>
        <v/>
      </c>
      <c r="K24" s="24" t="str">
        <f aca="false">IF(G24="","",IF(G24&lt;0,-G24/(-G24+100),100/(G24+100)))</f>
        <v/>
      </c>
      <c r="L24" s="25" t="str">
        <f aca="false">IF(OR(H24="",J24=""),"",H24-J24)</f>
        <v/>
      </c>
      <c r="M24" s="25" t="str">
        <f aca="false">IF(OR(I24="",K24=""),"",I24-K24)</f>
        <v/>
      </c>
      <c r="N24" s="20" t="str">
        <f aca="false">IF(E24="","",IF(AND(L24&lt;&gt;"",L24&gt;=Parametros!$B$3),"OVER",IF(AND(M24&lt;&gt;"",M24&gt;=Parametros!$B$3),"UNDER","PASS")))</f>
        <v/>
      </c>
    </row>
    <row r="26" customFormat="false" ht="15" hidden="false" customHeight="false" outlineLevel="0" collapsed="false">
      <c r="B26" s="26" t="s">
        <v>58</v>
      </c>
    </row>
    <row r="27" customFormat="false" ht="15" hidden="false" customHeight="false" outlineLevel="0" collapsed="false">
      <c r="B27" s="26" t="s">
        <v>59</v>
      </c>
    </row>
  </sheetData>
  <mergeCells count="8">
    <mergeCell ref="B2:C3"/>
    <mergeCell ref="D2:J3"/>
    <mergeCell ref="K2:L3"/>
    <mergeCell ref="M2:N3"/>
    <mergeCell ref="B4:C5"/>
    <mergeCell ref="D4:J5"/>
    <mergeCell ref="K4:L5"/>
    <mergeCell ref="M4:N5"/>
  </mergeCells>
  <conditionalFormatting sqref="N15:N24">
    <cfRule type="cellIs" priority="2" operator="equal" aboveAverage="0" equalAverage="0" bottom="0" percent="0" rank="0" text="" dxfId="0">
      <formula>"OVER"</formula>
    </cfRule>
    <cfRule type="cellIs" priority="3" operator="equal" aboveAverage="0" equalAverage="0" bottom="0" percent="0" rank="0" text="" dxfId="1">
      <formula>"UNDER"</formula>
    </cfRule>
  </conditionalFormatting>
  <dataValidations count="3">
    <dataValidation allowBlank="false" errorStyle="stop" operator="between" showDropDown="false" showErrorMessage="false" showInputMessage="false" sqref="D2" type="list">
      <formula1>'Stats Jugadores'!$B$2:$B$1000</formula1>
      <formula2>0</formula2>
    </dataValidation>
    <dataValidation allowBlank="false" errorStyle="stop" operator="between" showDropDown="false" showErrorMessage="false" showInputMessage="false" sqref="D4" type="list">
      <formula1>'Stats Equipos'!$B$2:$B$31</formula1>
      <formula2>0</formula2>
    </dataValidation>
    <dataValidation allowBlank="false" errorStyle="stop" operator="between" showDropDown="false" showErrorMessage="false" showInputMessage="false" sqref="M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27" t="s">
        <v>60</v>
      </c>
    </row>
    <row r="2" customFormat="false" ht="15" hidden="false" customHeight="false" outlineLevel="0" collapsed="false">
      <c r="A2" s="28"/>
    </row>
    <row r="3" customFormat="false" ht="15" hidden="false" customHeight="false" outlineLevel="0" collapsed="false">
      <c r="A3" s="28" t="s">
        <v>61</v>
      </c>
    </row>
    <row r="4" customFormat="false" ht="15" hidden="false" customHeight="false" outlineLevel="0" collapsed="false">
      <c r="A4" s="28" t="s">
        <v>62</v>
      </c>
    </row>
    <row r="5" customFormat="false" ht="15" hidden="false" customHeight="false" outlineLevel="0" collapsed="false">
      <c r="A5" s="28" t="s">
        <v>63</v>
      </c>
    </row>
    <row r="6" customFormat="false" ht="15" hidden="false" customHeight="false" outlineLevel="0" collapsed="false">
      <c r="A6" s="28" t="s">
        <v>64</v>
      </c>
    </row>
    <row r="7" customFormat="false" ht="15" hidden="false" customHeight="false" outlineLevel="0" collapsed="false">
      <c r="A7" s="28" t="s">
        <v>65</v>
      </c>
    </row>
    <row r="8" customFormat="false" ht="15" hidden="false" customHeight="false" outlineLevel="0" collapsed="false">
      <c r="A8" s="28" t="s">
        <v>66</v>
      </c>
    </row>
    <row r="9" customFormat="false" ht="15" hidden="false" customHeight="false" outlineLevel="0" collapsed="false">
      <c r="A9" s="28"/>
    </row>
    <row r="10" customFormat="false" ht="15" hidden="false" customHeight="false" outlineLevel="0" collapsed="false">
      <c r="A10" s="29" t="s">
        <v>67</v>
      </c>
    </row>
    <row r="11" customFormat="false" ht="15" hidden="false" customHeight="false" outlineLevel="0" collapsed="false">
      <c r="A11" s="28" t="s">
        <v>68</v>
      </c>
    </row>
    <row r="12" customFormat="false" ht="15" hidden="false" customHeight="false" outlineLevel="0" collapsed="false">
      <c r="A12" s="28" t="s">
        <v>69</v>
      </c>
    </row>
    <row r="13" customFormat="false" ht="15" hidden="false" customHeight="false" outlineLevel="0" collapsed="false">
      <c r="A13" s="28" t="s">
        <v>70</v>
      </c>
    </row>
    <row r="14" customFormat="false" ht="15" hidden="false" customHeight="false" outlineLevel="0" collapsed="false">
      <c r="A14" s="28" t="s">
        <v>71</v>
      </c>
    </row>
    <row r="15" customFormat="false" ht="15" hidden="false" customHeight="false" outlineLevel="0" collapsed="false">
      <c r="A15" s="28" t="s">
        <v>72</v>
      </c>
    </row>
    <row r="16" customFormat="false" ht="15" hidden="false" customHeight="false" outlineLevel="0" collapsed="false">
      <c r="A16" s="28" t="s">
        <v>73</v>
      </c>
    </row>
    <row r="17" customFormat="false" ht="15" hidden="false" customHeight="false" outlineLevel="0" collapsed="false">
      <c r="A17" s="28" t="s">
        <v>74</v>
      </c>
    </row>
    <row r="18" customFormat="false" ht="15" hidden="false" customHeight="false" outlineLevel="0" collapsed="false">
      <c r="A18" s="28"/>
    </row>
    <row r="19" customFormat="false" ht="15" hidden="false" customHeight="false" outlineLevel="0" collapsed="false">
      <c r="A19" s="28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26" min="3" style="0" width="7"/>
  </cols>
  <sheetData>
    <row r="1" customFormat="false" ht="15" hidden="false" customHeight="false" outlineLevel="0" collapsed="false">
      <c r="A1" s="30" t="s">
        <v>76</v>
      </c>
      <c r="B1" s="30" t="s">
        <v>77</v>
      </c>
      <c r="C1" s="30" t="s">
        <v>78</v>
      </c>
      <c r="D1" s="30" t="s">
        <v>79</v>
      </c>
      <c r="E1" s="30" t="s">
        <v>80</v>
      </c>
      <c r="F1" s="30" t="s">
        <v>81</v>
      </c>
      <c r="G1" s="30" t="s">
        <v>82</v>
      </c>
      <c r="H1" s="30" t="s">
        <v>83</v>
      </c>
      <c r="I1" s="30" t="s">
        <v>84</v>
      </c>
      <c r="J1" s="30" t="s">
        <v>85</v>
      </c>
      <c r="K1" s="30" t="s">
        <v>86</v>
      </c>
      <c r="L1" s="30" t="s">
        <v>87</v>
      </c>
      <c r="M1" s="30" t="s">
        <v>88</v>
      </c>
      <c r="N1" s="30" t="s">
        <v>25</v>
      </c>
      <c r="O1" s="30" t="s">
        <v>89</v>
      </c>
      <c r="P1" s="30" t="s">
        <v>90</v>
      </c>
      <c r="Q1" s="30" t="s">
        <v>23</v>
      </c>
      <c r="R1" s="30" t="s">
        <v>91</v>
      </c>
      <c r="S1" s="30" t="s">
        <v>92</v>
      </c>
      <c r="T1" s="30" t="s">
        <v>93</v>
      </c>
      <c r="U1" s="30" t="s">
        <v>27</v>
      </c>
      <c r="V1" s="30" t="s">
        <v>94</v>
      </c>
      <c r="W1" s="30" t="s">
        <v>95</v>
      </c>
      <c r="X1" s="30" t="s">
        <v>96</v>
      </c>
      <c r="Y1" s="30" t="s">
        <v>97</v>
      </c>
      <c r="Z1" s="30" t="s">
        <v>98</v>
      </c>
      <c r="AA1" s="30" t="s">
        <v>99</v>
      </c>
      <c r="AB1" s="30" t="s">
        <v>100</v>
      </c>
      <c r="AC1" s="30" t="s">
        <v>101</v>
      </c>
      <c r="AD1" s="30" t="s">
        <v>102</v>
      </c>
    </row>
    <row r="2" customFormat="false" ht="15" hidden="false" customHeight="false" outlineLevel="0" collapsed="false">
      <c r="A2" s="31" t="n">
        <v>1</v>
      </c>
      <c r="B2" s="31" t="s">
        <v>103</v>
      </c>
      <c r="C2" s="31"/>
      <c r="D2" s="31" t="s">
        <v>104</v>
      </c>
      <c r="E2" s="31"/>
      <c r="F2" s="31" t="n">
        <v>76</v>
      </c>
      <c r="G2" s="31" t="n">
        <v>76</v>
      </c>
      <c r="H2" s="31" t="n">
        <v>34.2</v>
      </c>
      <c r="I2" s="31" t="n">
        <v>11.3</v>
      </c>
      <c r="J2" s="31" t="n">
        <v>21.8</v>
      </c>
      <c r="K2" s="32" t="n">
        <v>0.518</v>
      </c>
      <c r="L2" s="31" t="n">
        <v>2.1</v>
      </c>
      <c r="M2" s="31" t="n">
        <v>5.7</v>
      </c>
      <c r="N2" s="32" t="n">
        <v>0.368</v>
      </c>
      <c r="O2" s="31" t="n">
        <v>9.2</v>
      </c>
      <c r="P2" s="31" t="n">
        <v>16.1</v>
      </c>
      <c r="Q2" s="32" t="n">
        <v>0.571</v>
      </c>
      <c r="R2" s="32" t="n">
        <v>0.567</v>
      </c>
      <c r="S2" s="31" t="n">
        <v>7.9</v>
      </c>
      <c r="T2" s="31" t="n">
        <v>8.8</v>
      </c>
      <c r="U2" s="32" t="n">
        <v>0.898</v>
      </c>
      <c r="V2" s="31" t="n">
        <v>0.9</v>
      </c>
      <c r="W2" s="31" t="n">
        <v>4.1</v>
      </c>
      <c r="X2" s="31" t="n">
        <v>5</v>
      </c>
      <c r="Y2" s="31" t="n">
        <v>6.4</v>
      </c>
      <c r="Z2" s="31" t="n">
        <v>1.7</v>
      </c>
      <c r="AA2" s="31" t="n">
        <v>1</v>
      </c>
      <c r="AB2" s="31" t="n">
        <v>2.4</v>
      </c>
      <c r="AC2" s="31"/>
      <c r="AD2" s="31" t="n">
        <v>32.6</v>
      </c>
    </row>
    <row r="3" customFormat="false" ht="15" hidden="false" customHeight="false" outlineLevel="0" collapsed="false">
      <c r="A3" s="31" t="n">
        <v>2</v>
      </c>
      <c r="B3" s="31" t="s">
        <v>105</v>
      </c>
      <c r="C3" s="31"/>
      <c r="D3" s="31" t="s">
        <v>106</v>
      </c>
      <c r="E3" s="31"/>
      <c r="F3" s="31" t="n">
        <v>67</v>
      </c>
      <c r="G3" s="31" t="n">
        <v>67</v>
      </c>
      <c r="H3" s="31" t="n">
        <v>34.2</v>
      </c>
      <c r="I3" s="31" t="n">
        <v>11.8</v>
      </c>
      <c r="J3" s="31" t="n">
        <v>19.7</v>
      </c>
      <c r="K3" s="32" t="n">
        <v>0.599</v>
      </c>
      <c r="L3" s="31" t="n">
        <v>0.2</v>
      </c>
      <c r="M3" s="31" t="n">
        <v>0.9</v>
      </c>
      <c r="N3" s="32" t="n">
        <v>0.222</v>
      </c>
      <c r="O3" s="31" t="n">
        <v>11.6</v>
      </c>
      <c r="P3" s="31" t="n">
        <v>18.8</v>
      </c>
      <c r="Q3" s="32" t="n">
        <v>0.617</v>
      </c>
      <c r="R3" s="32" t="n">
        <v>0.604</v>
      </c>
      <c r="S3" s="31" t="n">
        <v>6.5</v>
      </c>
      <c r="T3" s="31" t="n">
        <v>10.6</v>
      </c>
      <c r="U3" s="32" t="n">
        <v>0.613</v>
      </c>
      <c r="V3" s="31" t="n">
        <v>2.2</v>
      </c>
      <c r="W3" s="31" t="n">
        <v>9.7</v>
      </c>
      <c r="X3" s="31" t="n">
        <v>11.9</v>
      </c>
      <c r="Y3" s="31" t="n">
        <v>6.5</v>
      </c>
      <c r="Z3" s="31" t="n">
        <v>0.9</v>
      </c>
      <c r="AA3" s="31" t="n">
        <v>1.2</v>
      </c>
      <c r="AB3" s="31" t="n">
        <v>3.1</v>
      </c>
      <c r="AC3" s="31"/>
      <c r="AD3" s="31" t="n">
        <v>30.3</v>
      </c>
    </row>
    <row r="4" customFormat="false" ht="15" hidden="false" customHeight="false" outlineLevel="0" collapsed="false">
      <c r="A4" s="31" t="n">
        <v>3</v>
      </c>
      <c r="B4" s="31" t="s">
        <v>107</v>
      </c>
      <c r="C4" s="31"/>
      <c r="D4" s="31" t="s">
        <v>108</v>
      </c>
      <c r="E4" s="31"/>
      <c r="F4" s="31" t="n">
        <v>70</v>
      </c>
      <c r="G4" s="31" t="n">
        <v>70</v>
      </c>
      <c r="H4" s="31" t="n">
        <v>36.7</v>
      </c>
      <c r="I4" s="31" t="n">
        <v>11.2</v>
      </c>
      <c r="J4" s="31" t="n">
        <v>19.5</v>
      </c>
      <c r="K4" s="32" t="n">
        <v>0.574</v>
      </c>
      <c r="L4" s="31" t="n">
        <v>2</v>
      </c>
      <c r="M4" s="31" t="n">
        <v>4.7</v>
      </c>
      <c r="N4" s="32" t="n">
        <v>0.426</v>
      </c>
      <c r="O4" s="31" t="n">
        <v>9.2</v>
      </c>
      <c r="P4" s="31" t="n">
        <v>14.8</v>
      </c>
      <c r="Q4" s="32" t="n">
        <v>0.622</v>
      </c>
      <c r="R4" s="32" t="n">
        <v>0.626</v>
      </c>
      <c r="S4" s="31" t="n">
        <v>5.2</v>
      </c>
      <c r="T4" s="31" t="n">
        <v>6.4</v>
      </c>
      <c r="U4" s="32" t="n">
        <v>0.812</v>
      </c>
      <c r="V4" s="31" t="n">
        <v>2.9</v>
      </c>
      <c r="W4" s="31" t="n">
        <v>9.9</v>
      </c>
      <c r="X4" s="31" t="n">
        <v>12.8</v>
      </c>
      <c r="Y4" s="31" t="n">
        <v>10.2</v>
      </c>
      <c r="Z4" s="31" t="n">
        <v>1.8</v>
      </c>
      <c r="AA4" s="31" t="n">
        <v>0.6</v>
      </c>
      <c r="AB4" s="31" t="n">
        <v>3.3</v>
      </c>
      <c r="AC4" s="31"/>
      <c r="AD4" s="31" t="n">
        <v>29.6</v>
      </c>
    </row>
    <row r="5" customFormat="false" ht="15" hidden="false" customHeight="false" outlineLevel="0" collapsed="false">
      <c r="A5" s="31" t="n">
        <v>4</v>
      </c>
      <c r="B5" s="31" t="s">
        <v>109</v>
      </c>
      <c r="C5" s="31"/>
      <c r="D5" s="31" t="s">
        <v>110</v>
      </c>
      <c r="E5" s="31"/>
      <c r="F5" s="31" t="n">
        <v>50</v>
      </c>
      <c r="G5" s="31" t="n">
        <v>50</v>
      </c>
      <c r="H5" s="31" t="n">
        <v>35.4</v>
      </c>
      <c r="I5" s="31" t="n">
        <v>9.2</v>
      </c>
      <c r="J5" s="31" t="n">
        <v>20.5</v>
      </c>
      <c r="K5" s="32" t="n">
        <v>0.449</v>
      </c>
      <c r="L5" s="31" t="n">
        <v>3.5</v>
      </c>
      <c r="M5" s="31" t="n">
        <v>9.6</v>
      </c>
      <c r="N5" s="32" t="n">
        <v>0.365</v>
      </c>
      <c r="O5" s="31" t="n">
        <v>5.7</v>
      </c>
      <c r="P5" s="31" t="n">
        <v>10.9</v>
      </c>
      <c r="Q5" s="32" t="n">
        <v>0.523</v>
      </c>
      <c r="R5" s="32" t="n">
        <v>0.534</v>
      </c>
      <c r="S5" s="31" t="n">
        <v>6.4</v>
      </c>
      <c r="T5" s="31" t="n">
        <v>8.4</v>
      </c>
      <c r="U5" s="32" t="n">
        <v>0.762</v>
      </c>
      <c r="V5" s="31" t="n">
        <v>0.8</v>
      </c>
      <c r="W5" s="31" t="n">
        <v>7.4</v>
      </c>
      <c r="X5" s="31" t="n">
        <v>8.2</v>
      </c>
      <c r="Y5" s="31" t="n">
        <v>7.7</v>
      </c>
      <c r="Z5" s="31" t="n">
        <v>1.8</v>
      </c>
      <c r="AA5" s="31" t="n">
        <v>0.4</v>
      </c>
      <c r="AB5" s="31" t="n">
        <v>3.6</v>
      </c>
      <c r="AC5" s="31"/>
      <c r="AD5" s="31" t="n">
        <v>28.3</v>
      </c>
    </row>
    <row r="6" customFormat="false" ht="15" hidden="false" customHeight="false" outlineLevel="0" collapsed="false">
      <c r="A6" s="31" t="n">
        <v>5</v>
      </c>
      <c r="B6" s="31" t="s">
        <v>1</v>
      </c>
      <c r="C6" s="31"/>
      <c r="D6" s="31" t="s">
        <v>111</v>
      </c>
      <c r="E6" s="31"/>
      <c r="F6" s="31" t="n">
        <v>47</v>
      </c>
      <c r="G6" s="31" t="n">
        <v>47</v>
      </c>
      <c r="H6" s="31" t="n">
        <v>32.3</v>
      </c>
      <c r="I6" s="31" t="n">
        <v>9.6</v>
      </c>
      <c r="J6" s="31" t="n">
        <v>23.8</v>
      </c>
      <c r="K6" s="32" t="n">
        <v>0.403</v>
      </c>
      <c r="L6" s="31" t="n">
        <v>4.2</v>
      </c>
      <c r="M6" s="31" t="n">
        <v>11.8</v>
      </c>
      <c r="N6" s="32" t="n">
        <v>0.356</v>
      </c>
      <c r="O6" s="31" t="n">
        <v>5.4</v>
      </c>
      <c r="P6" s="31" t="n">
        <v>12</v>
      </c>
      <c r="Q6" s="32" t="n">
        <v>0.45</v>
      </c>
      <c r="R6" s="32" t="n">
        <v>0.492</v>
      </c>
      <c r="S6" s="31" t="n">
        <v>4.1</v>
      </c>
      <c r="T6" s="31" t="n">
        <v>4.8</v>
      </c>
      <c r="U6" s="32" t="n">
        <v>0.854</v>
      </c>
      <c r="V6" s="31" t="n">
        <v>1.1</v>
      </c>
      <c r="W6" s="31" t="n">
        <v>3.8</v>
      </c>
      <c r="X6" s="31" t="n">
        <v>4.9</v>
      </c>
      <c r="Y6" s="31" t="n">
        <v>7.4</v>
      </c>
      <c r="Z6" s="31" t="n">
        <v>1.1</v>
      </c>
      <c r="AA6" s="31" t="n">
        <v>0.3</v>
      </c>
      <c r="AB6" s="31" t="n">
        <v>3.6</v>
      </c>
      <c r="AC6" s="31"/>
      <c r="AD6" s="31" t="n">
        <v>27.5</v>
      </c>
    </row>
    <row r="7" customFormat="false" ht="15" hidden="false" customHeight="false" outlineLevel="0" collapsed="false">
      <c r="A7" s="31" t="n">
        <v>6</v>
      </c>
      <c r="B7" s="31" t="s">
        <v>112</v>
      </c>
      <c r="C7" s="31"/>
      <c r="D7" s="31" t="s">
        <v>113</v>
      </c>
      <c r="E7" s="31"/>
      <c r="F7" s="31" t="n">
        <v>79</v>
      </c>
      <c r="G7" s="31" t="n">
        <v>79</v>
      </c>
      <c r="H7" s="31" t="n">
        <v>36.3</v>
      </c>
      <c r="I7" s="31" t="n">
        <v>9.1</v>
      </c>
      <c r="J7" s="31" t="n">
        <v>20.4</v>
      </c>
      <c r="K7" s="32" t="n">
        <v>0.446</v>
      </c>
      <c r="L7" s="31" t="n">
        <v>4.1</v>
      </c>
      <c r="M7" s="31" t="n">
        <v>10.3</v>
      </c>
      <c r="N7" s="32" t="n">
        <v>0.398</v>
      </c>
      <c r="O7" s="31" t="n">
        <v>5</v>
      </c>
      <c r="P7" s="31" t="n">
        <v>10.1</v>
      </c>
      <c r="Q7" s="32" t="n">
        <v>0.495</v>
      </c>
      <c r="R7" s="32" t="n">
        <v>0.547</v>
      </c>
      <c r="S7" s="31" t="n">
        <v>4.8</v>
      </c>
      <c r="T7" s="31" t="n">
        <v>5.8</v>
      </c>
      <c r="U7" s="32" t="n">
        <v>0.828</v>
      </c>
      <c r="V7" s="31" t="n">
        <v>0.8</v>
      </c>
      <c r="W7" s="31" t="n">
        <v>5</v>
      </c>
      <c r="X7" s="31" t="n">
        <v>5.8</v>
      </c>
      <c r="Y7" s="31" t="n">
        <v>4.5</v>
      </c>
      <c r="Z7" s="31" t="n">
        <v>1.2</v>
      </c>
      <c r="AA7" s="31" t="n">
        <v>0.6</v>
      </c>
      <c r="AB7" s="31" t="n">
        <v>3.2</v>
      </c>
      <c r="AC7" s="31"/>
      <c r="AD7" s="31" t="n">
        <v>27.1</v>
      </c>
    </row>
    <row r="8" customFormat="false" ht="15" hidden="false" customHeight="false" outlineLevel="0" collapsed="false">
      <c r="A8" s="31" t="n">
        <v>7</v>
      </c>
      <c r="B8" s="31" t="s">
        <v>114</v>
      </c>
      <c r="C8" s="31"/>
      <c r="D8" s="31" t="s">
        <v>115</v>
      </c>
      <c r="E8" s="31"/>
      <c r="F8" s="31" t="n">
        <v>72</v>
      </c>
      <c r="G8" s="31" t="n">
        <v>72</v>
      </c>
      <c r="H8" s="31" t="n">
        <v>36.4</v>
      </c>
      <c r="I8" s="31" t="n">
        <v>9.2</v>
      </c>
      <c r="J8" s="31" t="n">
        <v>20.3</v>
      </c>
      <c r="K8" s="32" t="n">
        <v>0.453</v>
      </c>
      <c r="L8" s="31" t="n">
        <v>3.5</v>
      </c>
      <c r="M8" s="31" t="n">
        <v>10.1</v>
      </c>
      <c r="N8" s="32" t="n">
        <v>0.347</v>
      </c>
      <c r="O8" s="31" t="n">
        <v>5.7</v>
      </c>
      <c r="P8" s="31" t="n">
        <v>10.2</v>
      </c>
      <c r="Q8" s="32" t="n">
        <v>0.559</v>
      </c>
      <c r="R8" s="32" t="n">
        <v>0.539</v>
      </c>
      <c r="S8" s="31" t="n">
        <v>5</v>
      </c>
      <c r="T8" s="31" t="n">
        <v>6</v>
      </c>
      <c r="U8" s="32" t="n">
        <v>0.833</v>
      </c>
      <c r="V8" s="31" t="n">
        <v>0.7</v>
      </c>
      <c r="W8" s="31" t="n">
        <v>8</v>
      </c>
      <c r="X8" s="31" t="n">
        <v>8.7</v>
      </c>
      <c r="Y8" s="31" t="n">
        <v>6</v>
      </c>
      <c r="Z8" s="31" t="n">
        <v>1.1</v>
      </c>
      <c r="AA8" s="31" t="n">
        <v>0.5</v>
      </c>
      <c r="AB8" s="31" t="n">
        <v>2.9</v>
      </c>
      <c r="AC8" s="31"/>
      <c r="AD8" s="31" t="n">
        <v>26.9</v>
      </c>
    </row>
    <row r="9" customFormat="false" ht="15" hidden="false" customHeight="false" outlineLevel="0" collapsed="false">
      <c r="A9" s="31" t="n">
        <v>8</v>
      </c>
      <c r="B9" s="31" t="s">
        <v>116</v>
      </c>
      <c r="C9" s="31"/>
      <c r="D9" s="31" t="s">
        <v>117</v>
      </c>
      <c r="E9" s="31"/>
      <c r="F9" s="31" t="n">
        <v>62</v>
      </c>
      <c r="G9" s="31" t="n">
        <v>62</v>
      </c>
      <c r="H9" s="31" t="n">
        <v>36.5</v>
      </c>
      <c r="I9" s="31" t="n">
        <v>9.5</v>
      </c>
      <c r="J9" s="31" t="n">
        <v>18.1</v>
      </c>
      <c r="K9" s="32" t="n">
        <v>0.525</v>
      </c>
      <c r="L9" s="31" t="n">
        <v>2.6</v>
      </c>
      <c r="M9" s="31" t="n">
        <v>6</v>
      </c>
      <c r="N9" s="32" t="n">
        <v>0.433</v>
      </c>
      <c r="O9" s="31" t="n">
        <v>6.9</v>
      </c>
      <c r="P9" s="31" t="n">
        <v>12.1</v>
      </c>
      <c r="Q9" s="32" t="n">
        <v>0.57</v>
      </c>
      <c r="R9" s="32" t="n">
        <v>0.597</v>
      </c>
      <c r="S9" s="31" t="n">
        <v>5.1</v>
      </c>
      <c r="T9" s="31" t="n">
        <v>5.8</v>
      </c>
      <c r="U9" s="32" t="n">
        <v>0.879</v>
      </c>
      <c r="V9" s="31" t="n">
        <v>0.4</v>
      </c>
      <c r="W9" s="31" t="n">
        <v>5.6</v>
      </c>
      <c r="X9" s="31" t="n">
        <v>6</v>
      </c>
      <c r="Y9" s="31" t="n">
        <v>4.2</v>
      </c>
      <c r="Z9" s="31" t="n">
        <v>0.8</v>
      </c>
      <c r="AA9" s="31" t="n">
        <v>1.2</v>
      </c>
      <c r="AB9" s="31" t="n">
        <v>3.1</v>
      </c>
      <c r="AC9" s="31"/>
      <c r="AD9" s="31" t="n">
        <v>26.7</v>
      </c>
    </row>
    <row r="10" customFormat="false" ht="15" hidden="false" customHeight="false" outlineLevel="0" collapsed="false">
      <c r="A10" s="31" t="n">
        <v>9</v>
      </c>
      <c r="B10" s="31" t="s">
        <v>118</v>
      </c>
      <c r="C10" s="31"/>
      <c r="D10" s="31" t="s">
        <v>119</v>
      </c>
      <c r="E10" s="31"/>
      <c r="F10" s="31" t="n">
        <v>70</v>
      </c>
      <c r="G10" s="31" t="n">
        <v>70</v>
      </c>
      <c r="H10" s="31" t="n">
        <v>35</v>
      </c>
      <c r="I10" s="31" t="n">
        <v>9.7</v>
      </c>
      <c r="J10" s="31" t="n">
        <v>20.6</v>
      </c>
      <c r="K10" s="32" t="n">
        <v>0.471</v>
      </c>
      <c r="L10" s="31" t="n">
        <v>2.1</v>
      </c>
      <c r="M10" s="31" t="n">
        <v>6</v>
      </c>
      <c r="N10" s="32" t="n">
        <v>0.35</v>
      </c>
      <c r="O10" s="31" t="n">
        <v>7.6</v>
      </c>
      <c r="P10" s="31" t="n">
        <v>14.6</v>
      </c>
      <c r="Q10" s="32" t="n">
        <v>0.521</v>
      </c>
      <c r="R10" s="32" t="n">
        <v>0.522</v>
      </c>
      <c r="S10" s="31" t="n">
        <v>4</v>
      </c>
      <c r="T10" s="31" t="n">
        <v>4.9</v>
      </c>
      <c r="U10" s="32" t="n">
        <v>0.816</v>
      </c>
      <c r="V10" s="31" t="n">
        <v>0.9</v>
      </c>
      <c r="W10" s="31" t="n">
        <v>5.2</v>
      </c>
      <c r="X10" s="31" t="n">
        <v>6.1</v>
      </c>
      <c r="Y10" s="31" t="n">
        <v>9.1</v>
      </c>
      <c r="Z10" s="31" t="n">
        <v>1</v>
      </c>
      <c r="AA10" s="31" t="n">
        <v>0.8</v>
      </c>
      <c r="AB10" s="31" t="n">
        <v>4.4</v>
      </c>
      <c r="AC10" s="31"/>
      <c r="AD10" s="31" t="n">
        <v>25.5</v>
      </c>
    </row>
    <row r="11" customFormat="false" ht="15" hidden="false" customHeight="false" outlineLevel="0" collapsed="false">
      <c r="A11" s="31" t="n">
        <v>10</v>
      </c>
      <c r="B11" s="31" t="s">
        <v>120</v>
      </c>
      <c r="C11" s="31"/>
      <c r="D11" s="31" t="s">
        <v>121</v>
      </c>
      <c r="E11" s="31"/>
      <c r="F11" s="31" t="n">
        <v>71</v>
      </c>
      <c r="G11" s="31" t="n">
        <v>71</v>
      </c>
      <c r="H11" s="31" t="n">
        <v>31.4</v>
      </c>
      <c r="I11" s="31" t="n">
        <v>8.6</v>
      </c>
      <c r="J11" s="31" t="n">
        <v>19</v>
      </c>
      <c r="K11" s="32" t="n">
        <v>0.453</v>
      </c>
      <c r="L11" s="31" t="n">
        <v>3.4</v>
      </c>
      <c r="M11" s="31" t="n">
        <v>9.4</v>
      </c>
      <c r="N11" s="32" t="n">
        <v>0.362</v>
      </c>
      <c r="O11" s="31" t="n">
        <v>5.2</v>
      </c>
      <c r="P11" s="31" t="n">
        <v>9.6</v>
      </c>
      <c r="Q11" s="32" t="n">
        <v>0.542</v>
      </c>
      <c r="R11" s="32" t="n">
        <v>0.542</v>
      </c>
      <c r="S11" s="31" t="n">
        <v>3.4</v>
      </c>
      <c r="T11" s="31" t="n">
        <v>4.2</v>
      </c>
      <c r="U11" s="32" t="n">
        <v>0.81</v>
      </c>
      <c r="V11" s="31" t="n">
        <v>0.8</v>
      </c>
      <c r="W11" s="31" t="n">
        <v>3.7</v>
      </c>
      <c r="X11" s="31" t="n">
        <v>4.5</v>
      </c>
      <c r="Y11" s="31" t="n">
        <v>5</v>
      </c>
      <c r="Z11" s="31" t="n">
        <v>1.3</v>
      </c>
      <c r="AA11" s="31" t="n">
        <v>0.2</v>
      </c>
      <c r="AB11" s="31" t="n">
        <v>2.1</v>
      </c>
      <c r="AC11" s="31"/>
      <c r="AD11" s="31" t="n">
        <v>24</v>
      </c>
    </row>
    <row r="12" customFormat="false" ht="15" hidden="false" customHeight="false" outlineLevel="0" collapsed="false">
      <c r="A12" s="31" t="n">
        <v>11</v>
      </c>
      <c r="B12" s="31" t="s">
        <v>122</v>
      </c>
      <c r="C12" s="31"/>
      <c r="D12" s="31" t="s">
        <v>123</v>
      </c>
      <c r="E12" s="31"/>
      <c r="F12" s="31" t="n">
        <v>70</v>
      </c>
      <c r="G12" s="31" t="n">
        <v>70</v>
      </c>
      <c r="H12" s="31" t="n">
        <v>32.2</v>
      </c>
      <c r="I12" s="31" t="n">
        <v>8.4</v>
      </c>
      <c r="J12" s="31" t="n">
        <v>18.5</v>
      </c>
      <c r="K12" s="32" t="n">
        <v>0.454</v>
      </c>
      <c r="L12" s="31" t="n">
        <v>4.4</v>
      </c>
      <c r="M12" s="31" t="n">
        <v>11</v>
      </c>
      <c r="N12" s="32" t="n">
        <v>0.4</v>
      </c>
      <c r="O12" s="31" t="n">
        <v>4</v>
      </c>
      <c r="P12" s="31" t="n">
        <v>7.5</v>
      </c>
      <c r="Q12" s="32" t="n">
        <v>0.533</v>
      </c>
      <c r="R12" s="32" t="n">
        <v>0.573</v>
      </c>
      <c r="S12" s="31" t="n">
        <v>3.5</v>
      </c>
      <c r="T12" s="31" t="n">
        <v>3.8</v>
      </c>
      <c r="U12" s="32" t="n">
        <v>0.921</v>
      </c>
      <c r="V12" s="31" t="n">
        <v>0.5</v>
      </c>
      <c r="W12" s="31" t="n">
        <v>3.9</v>
      </c>
      <c r="X12" s="31" t="n">
        <v>4.4</v>
      </c>
      <c r="Y12" s="31" t="n">
        <v>6</v>
      </c>
      <c r="Z12" s="31" t="n">
        <v>1.1</v>
      </c>
      <c r="AA12" s="31" t="n">
        <v>0.4</v>
      </c>
      <c r="AB12" s="31" t="n">
        <v>3</v>
      </c>
      <c r="AC12" s="31"/>
      <c r="AD12" s="31" t="n">
        <v>24.7</v>
      </c>
    </row>
    <row r="13" customFormat="false" ht="15" hidden="false" customHeight="false" outlineLevel="0" collapsed="false">
      <c r="A13" s="31" t="n">
        <v>12</v>
      </c>
      <c r="B13" s="31" t="s">
        <v>124</v>
      </c>
      <c r="C13" s="31"/>
      <c r="D13" s="31" t="s">
        <v>110</v>
      </c>
      <c r="E13" s="31"/>
      <c r="F13" s="31" t="n">
        <v>70</v>
      </c>
      <c r="G13" s="31" t="n">
        <v>70</v>
      </c>
      <c r="H13" s="31" t="n">
        <v>34.9</v>
      </c>
      <c r="I13" s="31" t="n">
        <v>9.1</v>
      </c>
      <c r="J13" s="31" t="n">
        <v>18.3</v>
      </c>
      <c r="K13" s="32" t="n">
        <v>0.497</v>
      </c>
      <c r="L13" s="31" t="n">
        <v>2.1</v>
      </c>
      <c r="M13" s="31" t="n">
        <v>5.7</v>
      </c>
      <c r="N13" s="32" t="n">
        <v>0.368</v>
      </c>
      <c r="O13" s="31" t="n">
        <v>7</v>
      </c>
      <c r="P13" s="31" t="n">
        <v>12.6</v>
      </c>
      <c r="Q13" s="32" t="n">
        <v>0.556</v>
      </c>
      <c r="R13" s="32" t="n">
        <v>0.555</v>
      </c>
      <c r="S13" s="31" t="n">
        <v>4.1</v>
      </c>
      <c r="T13" s="31" t="n">
        <v>5.2</v>
      </c>
      <c r="U13" s="32" t="n">
        <v>0.788</v>
      </c>
      <c r="V13" s="31" t="n">
        <v>1</v>
      </c>
      <c r="W13" s="31" t="n">
        <v>6.8</v>
      </c>
      <c r="X13" s="31" t="n">
        <v>7.8</v>
      </c>
      <c r="Y13" s="31" t="n">
        <v>8.2</v>
      </c>
      <c r="Z13" s="31" t="n">
        <v>1</v>
      </c>
      <c r="AA13" s="31" t="n">
        <v>0.6</v>
      </c>
      <c r="AB13" s="31" t="n">
        <v>3.7</v>
      </c>
      <c r="AC13" s="31"/>
      <c r="AD13" s="31" t="n">
        <v>24.4</v>
      </c>
    </row>
    <row r="14" customFormat="false" ht="15" hidden="false" customHeight="false" outlineLevel="0" collapsed="false">
      <c r="A14" s="31" t="n">
        <v>13</v>
      </c>
      <c r="B14" s="31" t="s">
        <v>125</v>
      </c>
      <c r="C14" s="31"/>
      <c r="D14" s="31" t="s">
        <v>126</v>
      </c>
      <c r="E14" s="31"/>
      <c r="F14" s="31" t="n">
        <v>46</v>
      </c>
      <c r="G14" s="31" t="n">
        <v>46</v>
      </c>
      <c r="H14" s="31" t="n">
        <v>33.2</v>
      </c>
      <c r="I14" s="31" t="n">
        <v>8.7</v>
      </c>
      <c r="J14" s="31" t="n">
        <v>18.7</v>
      </c>
      <c r="K14" s="32" t="n">
        <v>0.465</v>
      </c>
      <c r="L14" s="31" t="n">
        <v>3.2</v>
      </c>
      <c r="M14" s="31" t="n">
        <v>9.1</v>
      </c>
      <c r="N14" s="32" t="n">
        <v>0.352</v>
      </c>
      <c r="O14" s="31" t="n">
        <v>5.5</v>
      </c>
      <c r="P14" s="31" t="n">
        <v>9.6</v>
      </c>
      <c r="Q14" s="32" t="n">
        <v>0.573</v>
      </c>
      <c r="R14" s="32" t="n">
        <v>0.551</v>
      </c>
      <c r="S14" s="31" t="n">
        <v>4.6</v>
      </c>
      <c r="T14" s="31" t="n">
        <v>5.5</v>
      </c>
      <c r="U14" s="32" t="n">
        <v>0.836</v>
      </c>
      <c r="V14" s="31" t="n">
        <v>2</v>
      </c>
      <c r="W14" s="31" t="n">
        <v>9</v>
      </c>
      <c r="X14" s="31" t="n">
        <v>11</v>
      </c>
      <c r="Y14" s="31" t="n">
        <v>3.7</v>
      </c>
      <c r="Z14" s="31" t="n">
        <v>1.1</v>
      </c>
      <c r="AA14" s="31" t="n">
        <v>3.8</v>
      </c>
      <c r="AB14" s="31" t="n">
        <v>3.2</v>
      </c>
      <c r="AC14" s="31"/>
      <c r="AD14" s="31" t="n">
        <v>25.2</v>
      </c>
    </row>
    <row r="15" customFormat="false" ht="15" hidden="false" customHeight="false" outlineLevel="0" collapsed="false">
      <c r="A15" s="31" t="n">
        <v>14</v>
      </c>
      <c r="B15" s="31" t="s">
        <v>127</v>
      </c>
      <c r="C15" s="31"/>
      <c r="D15" s="31" t="s">
        <v>128</v>
      </c>
      <c r="E15" s="31"/>
      <c r="F15" s="31" t="n">
        <v>52</v>
      </c>
      <c r="G15" s="31" t="n">
        <v>52</v>
      </c>
      <c r="H15" s="31" t="n">
        <v>37.7</v>
      </c>
      <c r="I15" s="31" t="n">
        <v>9.2</v>
      </c>
      <c r="J15" s="31" t="n">
        <v>21</v>
      </c>
      <c r="K15" s="32" t="n">
        <v>0.438</v>
      </c>
      <c r="L15" s="31" t="n">
        <v>3.1</v>
      </c>
      <c r="M15" s="31" t="n">
        <v>9</v>
      </c>
      <c r="N15" s="32" t="n">
        <v>0.344</v>
      </c>
      <c r="O15" s="31" t="n">
        <v>6.1</v>
      </c>
      <c r="P15" s="31" t="n">
        <v>12</v>
      </c>
      <c r="Q15" s="32" t="n">
        <v>0.508</v>
      </c>
      <c r="R15" s="32" t="n">
        <v>0.512</v>
      </c>
      <c r="S15" s="31" t="n">
        <v>5</v>
      </c>
      <c r="T15" s="31" t="n">
        <v>5.7</v>
      </c>
      <c r="U15" s="32" t="n">
        <v>0.877</v>
      </c>
      <c r="V15" s="31" t="n">
        <v>0.6</v>
      </c>
      <c r="W15" s="31" t="n">
        <v>2.7</v>
      </c>
      <c r="X15" s="31" t="n">
        <v>3.3</v>
      </c>
      <c r="Y15" s="31" t="n">
        <v>6.1</v>
      </c>
      <c r="Z15" s="31" t="n">
        <v>1.8</v>
      </c>
      <c r="AA15" s="31" t="n">
        <v>0.4</v>
      </c>
      <c r="AB15" s="31" t="n">
        <v>2.4</v>
      </c>
      <c r="AC15" s="31"/>
      <c r="AD15" s="31" t="n">
        <v>26.5</v>
      </c>
    </row>
    <row r="16" customFormat="false" ht="15" hidden="false" customHeight="false" outlineLevel="0" collapsed="false">
      <c r="A16" s="31" t="n">
        <v>15</v>
      </c>
      <c r="B16" s="31" t="s">
        <v>129</v>
      </c>
      <c r="C16" s="31"/>
      <c r="D16" s="31" t="s">
        <v>130</v>
      </c>
      <c r="E16" s="31"/>
      <c r="F16" s="31" t="n">
        <v>65</v>
      </c>
      <c r="G16" s="31" t="n">
        <v>65</v>
      </c>
      <c r="H16" s="31" t="n">
        <v>35.4</v>
      </c>
      <c r="I16" s="31" t="n">
        <v>9</v>
      </c>
      <c r="J16" s="31" t="n">
        <v>18.5</v>
      </c>
      <c r="K16" s="32" t="n">
        <v>0.486</v>
      </c>
      <c r="L16" s="31" t="n">
        <v>2.3</v>
      </c>
      <c r="M16" s="31" t="n">
        <v>6.2</v>
      </c>
      <c r="N16" s="32" t="n">
        <v>0.371</v>
      </c>
      <c r="O16" s="31" t="n">
        <v>6.7</v>
      </c>
      <c r="P16" s="31" t="n">
        <v>12.3</v>
      </c>
      <c r="Q16" s="32" t="n">
        <v>0.545</v>
      </c>
      <c r="R16" s="32" t="n">
        <v>0.549</v>
      </c>
      <c r="S16" s="31" t="n">
        <v>6</v>
      </c>
      <c r="T16" s="31" t="n">
        <v>7.1</v>
      </c>
      <c r="U16" s="32" t="n">
        <v>0.845</v>
      </c>
      <c r="V16" s="31" t="n">
        <v>0.4</v>
      </c>
      <c r="W16" s="31" t="n">
        <v>2.5</v>
      </c>
      <c r="X16" s="31" t="n">
        <v>2.9</v>
      </c>
      <c r="Y16" s="31" t="n">
        <v>7.3</v>
      </c>
      <c r="Z16" s="31" t="n">
        <v>0.9</v>
      </c>
      <c r="AA16" s="31" t="n">
        <v>0.1</v>
      </c>
      <c r="AB16" s="31" t="n">
        <v>2.4</v>
      </c>
      <c r="AC16" s="31"/>
      <c r="AD16" s="31" t="n">
        <v>26.3</v>
      </c>
    </row>
    <row r="17" customFormat="false" ht="15" hidden="false" customHeight="false" outlineLevel="0" collapsed="false">
      <c r="A17" s="31" t="n">
        <v>16</v>
      </c>
      <c r="B17" s="31" t="s">
        <v>131</v>
      </c>
      <c r="C17" s="31"/>
      <c r="D17" s="31" t="s">
        <v>130</v>
      </c>
      <c r="E17" s="31"/>
      <c r="F17" s="31" t="n">
        <v>72</v>
      </c>
      <c r="G17" s="31" t="n">
        <v>72</v>
      </c>
      <c r="H17" s="31" t="n">
        <v>35</v>
      </c>
      <c r="I17" s="31" t="n">
        <v>8.5</v>
      </c>
      <c r="J17" s="31" t="n">
        <v>16.4</v>
      </c>
      <c r="K17" s="32" t="n">
        <v>0.518</v>
      </c>
      <c r="L17" s="31" t="n">
        <v>2</v>
      </c>
      <c r="M17" s="31" t="n">
        <v>4.9</v>
      </c>
      <c r="N17" s="32" t="n">
        <v>0.408</v>
      </c>
      <c r="O17" s="31" t="n">
        <v>6.5</v>
      </c>
      <c r="P17" s="31" t="n">
        <v>11.5</v>
      </c>
      <c r="Q17" s="32" t="n">
        <v>0.565</v>
      </c>
      <c r="R17" s="32" t="n">
        <v>0.579</v>
      </c>
      <c r="S17" s="31" t="n">
        <v>5</v>
      </c>
      <c r="T17" s="31" t="n">
        <v>6.1</v>
      </c>
      <c r="U17" s="32" t="n">
        <v>0.82</v>
      </c>
      <c r="V17" s="31" t="n">
        <v>3.3</v>
      </c>
      <c r="W17" s="31" t="n">
        <v>9.5</v>
      </c>
      <c r="X17" s="31" t="n">
        <v>12.8</v>
      </c>
      <c r="Y17" s="31" t="n">
        <v>3.1</v>
      </c>
      <c r="Z17" s="31" t="n">
        <v>0.9</v>
      </c>
      <c r="AA17" s="31" t="n">
        <v>0.7</v>
      </c>
      <c r="AB17" s="31" t="n">
        <v>2.8</v>
      </c>
      <c r="AC17" s="31"/>
      <c r="AD17" s="31" t="n">
        <v>24</v>
      </c>
    </row>
    <row r="18" customFormat="false" ht="15" hidden="false" customHeight="false" outlineLevel="0" collapsed="false">
      <c r="A18" s="31" t="n">
        <v>17</v>
      </c>
      <c r="B18" s="31" t="s">
        <v>132</v>
      </c>
      <c r="C18" s="31"/>
      <c r="D18" s="31" t="s">
        <v>117</v>
      </c>
      <c r="E18" s="31"/>
      <c r="F18" s="31" t="n">
        <v>75</v>
      </c>
      <c r="G18" s="31" t="n">
        <v>75</v>
      </c>
      <c r="H18" s="31" t="n">
        <v>37.3</v>
      </c>
      <c r="I18" s="31" t="n">
        <v>8.5</v>
      </c>
      <c r="J18" s="31" t="n">
        <v>18.5</v>
      </c>
      <c r="K18" s="32" t="n">
        <v>0.459</v>
      </c>
      <c r="L18" s="31" t="n">
        <v>2.2</v>
      </c>
      <c r="M18" s="31" t="n">
        <v>6.9</v>
      </c>
      <c r="N18" s="32" t="n">
        <v>0.319</v>
      </c>
      <c r="O18" s="31" t="n">
        <v>6.3</v>
      </c>
      <c r="P18" s="31" t="n">
        <v>11.6</v>
      </c>
      <c r="Q18" s="32" t="n">
        <v>0.543</v>
      </c>
      <c r="R18" s="32" t="n">
        <v>0.519</v>
      </c>
      <c r="S18" s="31" t="n">
        <v>6</v>
      </c>
      <c r="T18" s="31" t="n">
        <v>6.9</v>
      </c>
      <c r="U18" s="32" t="n">
        <v>0.87</v>
      </c>
      <c r="V18" s="31" t="n">
        <v>0.7</v>
      </c>
      <c r="W18" s="31" t="n">
        <v>3.4</v>
      </c>
      <c r="X18" s="31" t="n">
        <v>4.1</v>
      </c>
      <c r="Y18" s="31" t="n">
        <v>7.1</v>
      </c>
      <c r="Z18" s="31" t="n">
        <v>0.9</v>
      </c>
      <c r="AA18" s="31" t="n">
        <v>0.3</v>
      </c>
      <c r="AB18" s="31" t="n">
        <v>2.7</v>
      </c>
      <c r="AC18" s="31"/>
      <c r="AD18" s="31" t="n">
        <v>25.2</v>
      </c>
    </row>
    <row r="19" customFormat="false" ht="15" hidden="false" customHeight="false" outlineLevel="0" collapsed="false">
      <c r="A19" s="31" t="n">
        <v>18</v>
      </c>
      <c r="B19" s="31" t="s">
        <v>133</v>
      </c>
      <c r="C19" s="31"/>
      <c r="D19" s="31" t="s">
        <v>106</v>
      </c>
      <c r="E19" s="31"/>
      <c r="F19" s="31" t="n">
        <v>58</v>
      </c>
      <c r="G19" s="31" t="n">
        <v>58</v>
      </c>
      <c r="H19" s="31" t="n">
        <v>36.1</v>
      </c>
      <c r="I19" s="31" t="n">
        <v>8</v>
      </c>
      <c r="J19" s="31" t="n">
        <v>17.9</v>
      </c>
      <c r="K19" s="32" t="n">
        <v>0.447</v>
      </c>
      <c r="L19" s="31" t="n">
        <v>3.5</v>
      </c>
      <c r="M19" s="31" t="n">
        <v>9.4</v>
      </c>
      <c r="N19" s="32" t="n">
        <v>0.372</v>
      </c>
      <c r="O19" s="31" t="n">
        <v>4.5</v>
      </c>
      <c r="P19" s="31" t="n">
        <v>8.5</v>
      </c>
      <c r="Q19" s="32" t="n">
        <v>0.529</v>
      </c>
      <c r="R19" s="32" t="n">
        <v>0.545</v>
      </c>
      <c r="S19" s="31" t="n">
        <v>7.2</v>
      </c>
      <c r="T19" s="31" t="n">
        <v>7.9</v>
      </c>
      <c r="U19" s="32" t="n">
        <v>0.911</v>
      </c>
      <c r="V19" s="31" t="n">
        <v>0.5</v>
      </c>
      <c r="W19" s="31" t="n">
        <v>4.2</v>
      </c>
      <c r="X19" s="31" t="n">
        <v>4.7</v>
      </c>
      <c r="Y19" s="31" t="n">
        <v>7.1</v>
      </c>
      <c r="Z19" s="31" t="n">
        <v>1.2</v>
      </c>
      <c r="AA19" s="31" t="n">
        <v>0.4</v>
      </c>
      <c r="AB19" s="31" t="n">
        <v>2.8</v>
      </c>
      <c r="AC19" s="31"/>
      <c r="AD19" s="31" t="n">
        <v>26.7</v>
      </c>
    </row>
    <row r="20" customFormat="false" ht="15" hidden="false" customHeight="false" outlineLevel="0" collapsed="false">
      <c r="A20" s="31" t="n">
        <v>19</v>
      </c>
      <c r="B20" s="31" t="s">
        <v>134</v>
      </c>
      <c r="C20" s="31"/>
      <c r="D20" s="31" t="s">
        <v>135</v>
      </c>
      <c r="E20" s="31"/>
      <c r="F20" s="31" t="n">
        <v>76</v>
      </c>
      <c r="G20" s="31" t="n">
        <v>76</v>
      </c>
      <c r="H20" s="31" t="n">
        <v>36</v>
      </c>
      <c r="I20" s="31" t="n">
        <v>7.7</v>
      </c>
      <c r="J20" s="31" t="n">
        <v>18.8</v>
      </c>
      <c r="K20" s="32" t="n">
        <v>0.41</v>
      </c>
      <c r="L20" s="31" t="n">
        <v>3</v>
      </c>
      <c r="M20" s="31" t="n">
        <v>8.7</v>
      </c>
      <c r="N20" s="32" t="n">
        <v>0.345</v>
      </c>
      <c r="O20" s="31" t="n">
        <v>4.7</v>
      </c>
      <c r="P20" s="31" t="n">
        <v>10.1</v>
      </c>
      <c r="Q20" s="32" t="n">
        <v>0.465</v>
      </c>
      <c r="R20" s="32" t="n">
        <v>0.489</v>
      </c>
      <c r="S20" s="31" t="n">
        <v>6.3</v>
      </c>
      <c r="T20" s="31" t="n">
        <v>7.3</v>
      </c>
      <c r="U20" s="32" t="n">
        <v>0.863</v>
      </c>
      <c r="V20" s="31" t="n">
        <v>0.5</v>
      </c>
      <c r="W20" s="31" t="n">
        <v>2.6</v>
      </c>
      <c r="X20" s="31" t="n">
        <v>3.1</v>
      </c>
      <c r="Y20" s="31" t="n">
        <v>11.6</v>
      </c>
      <c r="Z20" s="31" t="n">
        <v>1.2</v>
      </c>
      <c r="AA20" s="31" t="n">
        <v>0.2</v>
      </c>
      <c r="AB20" s="31" t="n">
        <v>4.7</v>
      </c>
      <c r="AC20" s="31"/>
      <c r="AD20" s="31" t="n">
        <v>24.7</v>
      </c>
    </row>
    <row r="21" customFormat="false" ht="15" hidden="false" customHeight="false" outlineLevel="0" collapsed="false">
      <c r="A21" s="31" t="n">
        <v>20</v>
      </c>
      <c r="B21" s="31" t="s">
        <v>136</v>
      </c>
      <c r="C21" s="31"/>
      <c r="D21" s="31" t="s">
        <v>137</v>
      </c>
      <c r="E21" s="31"/>
      <c r="F21" s="31" t="n">
        <v>51</v>
      </c>
      <c r="G21" s="31" t="n">
        <v>51</v>
      </c>
      <c r="H21" s="31" t="n">
        <v>34</v>
      </c>
      <c r="I21" s="31" t="n">
        <v>9.6</v>
      </c>
      <c r="J21" s="31" t="n">
        <v>18.6</v>
      </c>
      <c r="K21" s="32" t="n">
        <v>0.516</v>
      </c>
      <c r="L21" s="31" t="n">
        <v>0.8</v>
      </c>
      <c r="M21" s="31" t="n">
        <v>2.5</v>
      </c>
      <c r="N21" s="32" t="n">
        <v>0.32</v>
      </c>
      <c r="O21" s="31" t="n">
        <v>8.8</v>
      </c>
      <c r="P21" s="31" t="n">
        <v>16.1</v>
      </c>
      <c r="Q21" s="32" t="n">
        <v>0.547</v>
      </c>
      <c r="R21" s="32" t="n">
        <v>0.538</v>
      </c>
      <c r="S21" s="31" t="n">
        <v>4.2</v>
      </c>
      <c r="T21" s="31" t="n">
        <v>5.4</v>
      </c>
      <c r="U21" s="32" t="n">
        <v>0.778</v>
      </c>
      <c r="V21" s="31" t="n">
        <v>2.6</v>
      </c>
      <c r="W21" s="31" t="n">
        <v>9.4</v>
      </c>
      <c r="X21" s="31" t="n">
        <v>12</v>
      </c>
      <c r="Y21" s="31" t="n">
        <v>3.5</v>
      </c>
      <c r="Z21" s="31" t="n">
        <v>1.2</v>
      </c>
      <c r="AA21" s="31" t="n">
        <v>2.2</v>
      </c>
      <c r="AB21" s="31" t="n">
        <v>2.2</v>
      </c>
      <c r="AC21" s="31"/>
      <c r="AD21" s="31" t="n">
        <v>24.2</v>
      </c>
    </row>
    <row r="22" customFormat="false" ht="15" hidden="false" customHeight="false" outlineLevel="0" collapsed="false">
      <c r="A22" s="31" t="n">
        <v>21</v>
      </c>
      <c r="B22" s="31" t="s">
        <v>138</v>
      </c>
      <c r="C22" s="31"/>
      <c r="D22" s="31" t="s">
        <v>139</v>
      </c>
      <c r="E22" s="31"/>
      <c r="F22" s="31" t="n">
        <v>46</v>
      </c>
      <c r="G22" s="31" t="n">
        <v>46</v>
      </c>
      <c r="H22" s="31" t="n">
        <v>34.9</v>
      </c>
      <c r="I22" s="31" t="n">
        <v>8.8</v>
      </c>
      <c r="J22" s="31" t="n">
        <v>19.8</v>
      </c>
      <c r="K22" s="32" t="n">
        <v>0.444</v>
      </c>
      <c r="L22" s="31" t="n">
        <v>1.8</v>
      </c>
      <c r="M22" s="31" t="n">
        <v>5.7</v>
      </c>
      <c r="N22" s="32" t="n">
        <v>0.316</v>
      </c>
      <c r="O22" s="31" t="n">
        <v>7</v>
      </c>
      <c r="P22" s="31" t="n">
        <v>14.1</v>
      </c>
      <c r="Q22" s="32" t="n">
        <v>0.496</v>
      </c>
      <c r="R22" s="32" t="n">
        <v>0.49</v>
      </c>
      <c r="S22" s="31" t="n">
        <v>6.4</v>
      </c>
      <c r="T22" s="31" t="n">
        <v>8.6</v>
      </c>
      <c r="U22" s="32" t="n">
        <v>0.744</v>
      </c>
      <c r="V22" s="31" t="n">
        <v>1.4</v>
      </c>
      <c r="W22" s="31" t="n">
        <v>6.1</v>
      </c>
      <c r="X22" s="31" t="n">
        <v>7.5</v>
      </c>
      <c r="Y22" s="31" t="n">
        <v>4.8</v>
      </c>
      <c r="Z22" s="31" t="n">
        <v>0.9</v>
      </c>
      <c r="AA22" s="31" t="n">
        <v>0.5</v>
      </c>
      <c r="AB22" s="31" t="n">
        <v>3.3</v>
      </c>
      <c r="AC22" s="31"/>
      <c r="AD22" s="31" t="n">
        <v>25.8</v>
      </c>
    </row>
    <row r="23" customFormat="false" ht="15" hidden="false" customHeight="false" outlineLevel="0" collapsed="false">
      <c r="A23" s="31" t="n">
        <v>22</v>
      </c>
      <c r="B23" s="31" t="s">
        <v>140</v>
      </c>
      <c r="C23" s="31"/>
      <c r="D23" s="31" t="s">
        <v>141</v>
      </c>
      <c r="E23" s="31"/>
      <c r="F23" s="31" t="n">
        <v>70</v>
      </c>
      <c r="G23" s="31" t="n">
        <v>70</v>
      </c>
      <c r="H23" s="31" t="n">
        <v>34.7</v>
      </c>
      <c r="I23" s="31" t="n">
        <v>7.8</v>
      </c>
      <c r="J23" s="31" t="n">
        <v>13</v>
      </c>
      <c r="K23" s="32" t="n">
        <v>0.6</v>
      </c>
      <c r="L23" s="31" t="n">
        <v>0.6</v>
      </c>
      <c r="M23" s="31" t="n">
        <v>1.4</v>
      </c>
      <c r="N23" s="32" t="n">
        <v>0.429</v>
      </c>
      <c r="O23" s="31" t="n">
        <v>7.2</v>
      </c>
      <c r="P23" s="31" t="n">
        <v>11.6</v>
      </c>
      <c r="Q23" s="32" t="n">
        <v>0.621</v>
      </c>
      <c r="R23" s="32" t="n">
        <v>0.623</v>
      </c>
      <c r="S23" s="31" t="n">
        <v>3.4</v>
      </c>
      <c r="T23" s="31" t="n">
        <v>4.4</v>
      </c>
      <c r="U23" s="32" t="n">
        <v>0.773</v>
      </c>
      <c r="V23" s="31" t="n">
        <v>3.7</v>
      </c>
      <c r="W23" s="31" t="n">
        <v>10.2</v>
      </c>
      <c r="X23" s="31" t="n">
        <v>13.9</v>
      </c>
      <c r="Y23" s="31" t="n">
        <v>6</v>
      </c>
      <c r="Z23" s="31" t="n">
        <v>0.8</v>
      </c>
      <c r="AA23" s="31" t="n">
        <v>0.4</v>
      </c>
      <c r="AB23" s="31" t="n">
        <v>3.1</v>
      </c>
      <c r="AC23" s="31"/>
      <c r="AD23" s="31" t="n">
        <v>19.6</v>
      </c>
    </row>
    <row r="24" customFormat="false" ht="15" hidden="false" customHeight="false" outlineLevel="0" collapsed="false">
      <c r="A24" s="31" t="n">
        <v>23</v>
      </c>
      <c r="B24" s="31" t="s">
        <v>142</v>
      </c>
      <c r="C24" s="31"/>
      <c r="D24" s="31" t="s">
        <v>143</v>
      </c>
      <c r="E24" s="31"/>
      <c r="F24" s="31" t="n">
        <v>50</v>
      </c>
      <c r="G24" s="31" t="n">
        <v>50</v>
      </c>
      <c r="H24" s="31" t="n">
        <v>30</v>
      </c>
      <c r="I24" s="31" t="n">
        <v>7.6</v>
      </c>
      <c r="J24" s="31" t="n">
        <v>16.7</v>
      </c>
      <c r="K24" s="32" t="n">
        <v>0.455</v>
      </c>
      <c r="L24" s="31" t="n">
        <v>1.6</v>
      </c>
      <c r="M24" s="31" t="n">
        <v>5</v>
      </c>
      <c r="N24" s="32" t="n">
        <v>0.32</v>
      </c>
      <c r="O24" s="31" t="n">
        <v>6</v>
      </c>
      <c r="P24" s="31" t="n">
        <v>11.7</v>
      </c>
      <c r="Q24" s="32" t="n">
        <v>0.513</v>
      </c>
      <c r="R24" s="32" t="n">
        <v>0.503</v>
      </c>
      <c r="S24" s="31" t="n">
        <v>4.5</v>
      </c>
      <c r="T24" s="31" t="n">
        <v>5.8</v>
      </c>
      <c r="U24" s="32" t="n">
        <v>0.776</v>
      </c>
      <c r="V24" s="31" t="n">
        <v>0.9</v>
      </c>
      <c r="W24" s="31" t="n">
        <v>3.2</v>
      </c>
      <c r="X24" s="31" t="n">
        <v>4.1</v>
      </c>
      <c r="Y24" s="31" t="n">
        <v>7.3</v>
      </c>
      <c r="Z24" s="31" t="n">
        <v>1.2</v>
      </c>
      <c r="AA24" s="31" t="n">
        <v>0.3</v>
      </c>
      <c r="AB24" s="31" t="n">
        <v>3.4</v>
      </c>
      <c r="AC24" s="31"/>
      <c r="AD24" s="31" t="n">
        <v>21.3</v>
      </c>
    </row>
    <row r="25" customFormat="false" ht="15" hidden="false" customHeight="false" outlineLevel="0" collapsed="false">
      <c r="A25" s="31" t="n">
        <v>24</v>
      </c>
      <c r="B25" s="31" t="s">
        <v>144</v>
      </c>
      <c r="C25" s="31"/>
      <c r="D25" s="31" t="s">
        <v>115</v>
      </c>
      <c r="E25" s="31"/>
      <c r="F25" s="31" t="n">
        <v>63</v>
      </c>
      <c r="G25" s="31" t="n">
        <v>63</v>
      </c>
      <c r="H25" s="31" t="n">
        <v>34.3</v>
      </c>
      <c r="I25" s="31" t="n">
        <v>8.7</v>
      </c>
      <c r="J25" s="31" t="n">
        <v>18.4</v>
      </c>
      <c r="K25" s="32" t="n">
        <v>0.473</v>
      </c>
      <c r="L25" s="31" t="n">
        <v>2.1</v>
      </c>
      <c r="M25" s="31" t="n">
        <v>6.5</v>
      </c>
      <c r="N25" s="32" t="n">
        <v>0.323</v>
      </c>
      <c r="O25" s="31" t="n">
        <v>6.6</v>
      </c>
      <c r="P25" s="31" t="n">
        <v>11.9</v>
      </c>
      <c r="Q25" s="32" t="n">
        <v>0.555</v>
      </c>
      <c r="R25" s="32" t="n">
        <v>0.53</v>
      </c>
      <c r="S25" s="31" t="n">
        <v>3.4</v>
      </c>
      <c r="T25" s="31" t="n">
        <v>5.3</v>
      </c>
      <c r="U25" s="32" t="n">
        <v>0.642</v>
      </c>
      <c r="V25" s="31" t="n">
        <v>1.1</v>
      </c>
      <c r="W25" s="31" t="n">
        <v>4.7</v>
      </c>
      <c r="X25" s="31" t="n">
        <v>5.8</v>
      </c>
      <c r="Y25" s="31" t="n">
        <v>4.5</v>
      </c>
      <c r="Z25" s="31" t="n">
        <v>1.2</v>
      </c>
      <c r="AA25" s="31" t="n">
        <v>0.3</v>
      </c>
      <c r="AB25" s="31" t="n">
        <v>2.9</v>
      </c>
      <c r="AC25" s="31"/>
      <c r="AD25" s="31" t="n">
        <v>22.9</v>
      </c>
    </row>
    <row r="26" customFormat="false" ht="15" hidden="false" customHeight="false" outlineLevel="0" collapsed="false">
      <c r="A26" s="31" t="n">
        <v>25</v>
      </c>
      <c r="B26" s="31" t="s">
        <v>145</v>
      </c>
      <c r="C26" s="31"/>
      <c r="D26" s="31" t="s">
        <v>146</v>
      </c>
      <c r="E26" s="31"/>
      <c r="F26" s="31" t="n">
        <v>30</v>
      </c>
      <c r="G26" s="31" t="n">
        <v>30</v>
      </c>
      <c r="H26" s="31" t="n">
        <v>28.6</v>
      </c>
      <c r="I26" s="31" t="n">
        <v>9.5</v>
      </c>
      <c r="J26" s="31" t="n">
        <v>16.4</v>
      </c>
      <c r="K26" s="32" t="n">
        <v>0.579</v>
      </c>
      <c r="L26" s="31" t="n">
        <v>0.1</v>
      </c>
      <c r="M26" s="31" t="n">
        <v>0.3</v>
      </c>
      <c r="N26" s="32" t="n">
        <v>0.333</v>
      </c>
      <c r="O26" s="31" t="n">
        <v>9.4</v>
      </c>
      <c r="P26" s="31" t="n">
        <v>16.1</v>
      </c>
      <c r="Q26" s="32" t="n">
        <v>0.584</v>
      </c>
      <c r="R26" s="32" t="n">
        <v>0.582</v>
      </c>
      <c r="S26" s="31" t="n">
        <v>5.6</v>
      </c>
      <c r="T26" s="31" t="n">
        <v>8.4</v>
      </c>
      <c r="U26" s="32" t="n">
        <v>0.667</v>
      </c>
      <c r="V26" s="31" t="n">
        <v>2.4</v>
      </c>
      <c r="W26" s="31" t="n">
        <v>4.8</v>
      </c>
      <c r="X26" s="31" t="n">
        <v>7.2</v>
      </c>
      <c r="Y26" s="31" t="n">
        <v>5.3</v>
      </c>
      <c r="Z26" s="31" t="n">
        <v>1.2</v>
      </c>
      <c r="AA26" s="31" t="n">
        <v>0.8</v>
      </c>
      <c r="AB26" s="31" t="n">
        <v>3.3</v>
      </c>
      <c r="AC26" s="31"/>
      <c r="AD26" s="31" t="n">
        <v>24.7</v>
      </c>
    </row>
    <row r="27" customFormat="false" ht="15" hidden="false" customHeight="false" outlineLevel="0" collapsed="false">
      <c r="A27" s="31" t="n">
        <v>26</v>
      </c>
      <c r="B27" s="31" t="s">
        <v>147</v>
      </c>
      <c r="C27" s="31"/>
      <c r="D27" s="31" t="s">
        <v>148</v>
      </c>
      <c r="E27" s="31"/>
      <c r="F27" s="31" t="n">
        <v>76</v>
      </c>
      <c r="G27" s="31" t="n">
        <v>76</v>
      </c>
      <c r="H27" s="31" t="n">
        <v>31.5</v>
      </c>
      <c r="I27" s="31" t="n">
        <v>7.9</v>
      </c>
      <c r="J27" s="31" t="n">
        <v>15.8</v>
      </c>
      <c r="K27" s="32" t="n">
        <v>0.5</v>
      </c>
      <c r="L27" s="31" t="n">
        <v>0.3</v>
      </c>
      <c r="M27" s="31" t="n">
        <v>1.4</v>
      </c>
      <c r="N27" s="32" t="n">
        <v>0.214</v>
      </c>
      <c r="O27" s="31" t="n">
        <v>7.6</v>
      </c>
      <c r="P27" s="31" t="n">
        <v>14.4</v>
      </c>
      <c r="Q27" s="32" t="n">
        <v>0.528</v>
      </c>
      <c r="R27" s="32" t="n">
        <v>0.509</v>
      </c>
      <c r="S27" s="31" t="n">
        <v>3.4</v>
      </c>
      <c r="T27" s="31" t="n">
        <v>4.5</v>
      </c>
      <c r="U27" s="32" t="n">
        <v>0.756</v>
      </c>
      <c r="V27" s="31" t="n">
        <v>3.2</v>
      </c>
      <c r="W27" s="31" t="n">
        <v>7.1</v>
      </c>
      <c r="X27" s="31" t="n">
        <v>10.3</v>
      </c>
      <c r="Y27" s="31" t="n">
        <v>4.9</v>
      </c>
      <c r="Z27" s="31" t="n">
        <v>1.1</v>
      </c>
      <c r="AA27" s="31" t="n">
        <v>0.8</v>
      </c>
      <c r="AB27" s="31" t="n">
        <v>2.7</v>
      </c>
      <c r="AC27" s="31"/>
      <c r="AD27" s="31" t="n">
        <v>19.5</v>
      </c>
    </row>
    <row r="28" customFormat="false" ht="15" hidden="false" customHeight="false" outlineLevel="0" collapsed="false">
      <c r="A28" s="31" t="n">
        <v>27</v>
      </c>
      <c r="B28" s="31" t="s">
        <v>149</v>
      </c>
      <c r="C28" s="31"/>
      <c r="D28" s="31" t="s">
        <v>150</v>
      </c>
      <c r="E28" s="31"/>
      <c r="F28" s="31" t="n">
        <v>79</v>
      </c>
      <c r="G28" s="31" t="n">
        <v>79</v>
      </c>
      <c r="H28" s="31" t="n">
        <v>35.3</v>
      </c>
      <c r="I28" s="31" t="n">
        <v>6.8</v>
      </c>
      <c r="J28" s="31" t="n">
        <v>16.4</v>
      </c>
      <c r="K28" s="32" t="n">
        <v>0.415</v>
      </c>
      <c r="L28" s="31" t="n">
        <v>3</v>
      </c>
      <c r="M28" s="31" t="n">
        <v>8.6</v>
      </c>
      <c r="N28" s="32" t="n">
        <v>0.349</v>
      </c>
      <c r="O28" s="31" t="n">
        <v>3.8</v>
      </c>
      <c r="P28" s="31" t="n">
        <v>7.8</v>
      </c>
      <c r="Q28" s="32" t="n">
        <v>0.487</v>
      </c>
      <c r="R28" s="32" t="n">
        <v>0.506</v>
      </c>
      <c r="S28" s="31" t="n">
        <v>6.2</v>
      </c>
      <c r="T28" s="31" t="n">
        <v>7.2</v>
      </c>
      <c r="U28" s="32" t="n">
        <v>0.861</v>
      </c>
      <c r="V28" s="31" t="n">
        <v>0.8</v>
      </c>
      <c r="W28" s="31" t="n">
        <v>5</v>
      </c>
      <c r="X28" s="31" t="n">
        <v>5.8</v>
      </c>
      <c r="Y28" s="31" t="n">
        <v>8.7</v>
      </c>
      <c r="Z28" s="31" t="n">
        <v>1.5</v>
      </c>
      <c r="AA28" s="31" t="n">
        <v>0.7</v>
      </c>
      <c r="AB28" s="31" t="n">
        <v>4.5</v>
      </c>
      <c r="AC28" s="31"/>
      <c r="AD28" s="31" t="n">
        <v>22.8</v>
      </c>
    </row>
    <row r="29" customFormat="false" ht="15" hidden="false" customHeight="false" outlineLevel="0" collapsed="false">
      <c r="A29" s="31" t="n">
        <v>28</v>
      </c>
      <c r="B29" s="31" t="s">
        <v>151</v>
      </c>
      <c r="C29" s="31"/>
      <c r="D29" s="31" t="s">
        <v>108</v>
      </c>
      <c r="E29" s="31"/>
      <c r="F29" s="31" t="n">
        <v>67</v>
      </c>
      <c r="G29" s="31" t="n">
        <v>67</v>
      </c>
      <c r="H29" s="31" t="n">
        <v>35.5</v>
      </c>
      <c r="I29" s="31" t="n">
        <v>7.8</v>
      </c>
      <c r="J29" s="31" t="n">
        <v>16.3</v>
      </c>
      <c r="K29" s="32" t="n">
        <v>0.479</v>
      </c>
      <c r="L29" s="31" t="n">
        <v>2.6</v>
      </c>
      <c r="M29" s="31" t="n">
        <v>6.8</v>
      </c>
      <c r="N29" s="32" t="n">
        <v>0.382</v>
      </c>
      <c r="O29" s="31" t="n">
        <v>5.2</v>
      </c>
      <c r="P29" s="31" t="n">
        <v>9.5</v>
      </c>
      <c r="Q29" s="32" t="n">
        <v>0.547</v>
      </c>
      <c r="R29" s="32" t="n">
        <v>0.558</v>
      </c>
      <c r="S29" s="31" t="n">
        <v>3</v>
      </c>
      <c r="T29" s="31" t="n">
        <v>3.4</v>
      </c>
      <c r="U29" s="32" t="n">
        <v>0.882</v>
      </c>
      <c r="V29" s="31" t="n">
        <v>0.7</v>
      </c>
      <c r="W29" s="31" t="n">
        <v>3.6</v>
      </c>
      <c r="X29" s="31" t="n">
        <v>4.3</v>
      </c>
      <c r="Y29" s="31" t="n">
        <v>6</v>
      </c>
      <c r="Z29" s="31" t="n">
        <v>1.4</v>
      </c>
      <c r="AA29" s="31" t="n">
        <v>0.5</v>
      </c>
      <c r="AB29" s="31" t="n">
        <v>2.5</v>
      </c>
      <c r="AC29" s="31"/>
      <c r="AD29" s="31" t="n">
        <v>21.2</v>
      </c>
    </row>
    <row r="30" customFormat="false" ht="15" hidden="false" customHeight="false" outlineLevel="0" collapsed="false">
      <c r="A30" s="31" t="n">
        <v>29</v>
      </c>
      <c r="B30" s="31" t="s">
        <v>152</v>
      </c>
      <c r="C30" s="31"/>
      <c r="D30" s="31" t="s">
        <v>104</v>
      </c>
      <c r="E30" s="31"/>
      <c r="F30" s="31" t="n">
        <v>69</v>
      </c>
      <c r="G30" s="31" t="n">
        <v>69</v>
      </c>
      <c r="H30" s="31" t="n">
        <v>32.4</v>
      </c>
      <c r="I30" s="31" t="n">
        <v>8.1</v>
      </c>
      <c r="J30" s="31" t="n">
        <v>16.4</v>
      </c>
      <c r="K30" s="32" t="n">
        <v>0.494</v>
      </c>
      <c r="L30" s="31" t="n">
        <v>1.6</v>
      </c>
      <c r="M30" s="31" t="n">
        <v>4.6</v>
      </c>
      <c r="N30" s="32" t="n">
        <v>0.348</v>
      </c>
      <c r="O30" s="31" t="n">
        <v>6.5</v>
      </c>
      <c r="P30" s="31" t="n">
        <v>11.8</v>
      </c>
      <c r="Q30" s="32" t="n">
        <v>0.551</v>
      </c>
      <c r="R30" s="32" t="n">
        <v>0.543</v>
      </c>
      <c r="S30" s="31" t="n">
        <v>3.2</v>
      </c>
      <c r="T30" s="31" t="n">
        <v>4</v>
      </c>
      <c r="U30" s="32" t="n">
        <v>0.8</v>
      </c>
      <c r="V30" s="31" t="n">
        <v>1.2</v>
      </c>
      <c r="W30" s="31" t="n">
        <v>4.1</v>
      </c>
      <c r="X30" s="31" t="n">
        <v>5.3</v>
      </c>
      <c r="Y30" s="31" t="n">
        <v>5.1</v>
      </c>
      <c r="Z30" s="31" t="n">
        <v>1.6</v>
      </c>
      <c r="AA30" s="31" t="n">
        <v>0.7</v>
      </c>
      <c r="AB30" s="31" t="n">
        <v>2.4</v>
      </c>
      <c r="AC30" s="31"/>
      <c r="AD30" s="31" t="n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8" min="3" style="0" width="16"/>
  </cols>
  <sheetData>
    <row r="1" customFormat="false" ht="15" hidden="false" customHeight="false" outlineLevel="0" collapsed="false">
      <c r="A1" s="30" t="s">
        <v>153</v>
      </c>
      <c r="B1" s="30" t="s">
        <v>154</v>
      </c>
      <c r="C1" s="30" t="s">
        <v>155</v>
      </c>
      <c r="D1" s="30" t="s">
        <v>156</v>
      </c>
      <c r="E1" s="30" t="s">
        <v>157</v>
      </c>
      <c r="F1" s="30" t="s">
        <v>158</v>
      </c>
      <c r="G1" s="30" t="s">
        <v>159</v>
      </c>
      <c r="H1" s="30" t="s">
        <v>160</v>
      </c>
    </row>
    <row r="2" customFormat="false" ht="15" hidden="false" customHeight="false" outlineLevel="0" collapsed="false">
      <c r="A2" s="31" t="s">
        <v>135</v>
      </c>
      <c r="B2" s="31" t="s">
        <v>161</v>
      </c>
      <c r="C2" s="33" t="n">
        <v>103.4</v>
      </c>
      <c r="D2" s="34" t="n">
        <v>0.27</v>
      </c>
      <c r="E2" s="34" t="n">
        <v>0.7</v>
      </c>
      <c r="F2" s="33" t="n">
        <v>119.3</v>
      </c>
      <c r="G2" s="33" t="n">
        <v>28</v>
      </c>
      <c r="H2" s="33" t="n">
        <v>13.5</v>
      </c>
    </row>
    <row r="3" customFormat="false" ht="15" hidden="false" customHeight="false" outlineLevel="0" collapsed="false">
      <c r="A3" s="31" t="s">
        <v>115</v>
      </c>
      <c r="B3" s="31" t="s">
        <v>162</v>
      </c>
      <c r="C3" s="33" t="n">
        <v>97</v>
      </c>
      <c r="D3" s="34" t="n">
        <v>0.28</v>
      </c>
      <c r="E3" s="34" t="n">
        <v>0.74</v>
      </c>
      <c r="F3" s="33" t="n">
        <v>107.2</v>
      </c>
      <c r="G3" s="33" t="n">
        <v>24</v>
      </c>
      <c r="H3" s="33" t="n">
        <v>13</v>
      </c>
    </row>
    <row r="4" customFormat="false" ht="15" hidden="false" customHeight="false" outlineLevel="0" collapsed="false">
      <c r="A4" s="31" t="s">
        <v>163</v>
      </c>
      <c r="B4" s="31" t="s">
        <v>164</v>
      </c>
      <c r="C4" s="33" t="n">
        <v>97.5</v>
      </c>
      <c r="D4" s="34" t="n">
        <v>0.25</v>
      </c>
      <c r="E4" s="34" t="n">
        <v>0.72</v>
      </c>
      <c r="F4" s="33" t="n">
        <v>112.2</v>
      </c>
      <c r="G4" s="33" t="n">
        <v>26.5</v>
      </c>
      <c r="H4" s="33" t="n">
        <v>13.3</v>
      </c>
    </row>
    <row r="5" customFormat="false" ht="15" hidden="false" customHeight="false" outlineLevel="0" collapsed="false">
      <c r="A5" s="31" t="s">
        <v>111</v>
      </c>
      <c r="B5" s="31" t="s">
        <v>165</v>
      </c>
      <c r="C5" s="33" t="n">
        <v>98.3</v>
      </c>
      <c r="D5" s="34" t="n">
        <v>0.29</v>
      </c>
      <c r="E5" s="34" t="n">
        <v>0.72</v>
      </c>
      <c r="F5" s="33" t="n">
        <v>114.2</v>
      </c>
      <c r="G5" s="33" t="n">
        <v>27</v>
      </c>
      <c r="H5" s="33" t="n">
        <v>13.7</v>
      </c>
    </row>
    <row r="6" customFormat="false" ht="15" hidden="false" customHeight="false" outlineLevel="0" collapsed="false">
      <c r="A6" s="31" t="s">
        <v>166</v>
      </c>
      <c r="B6" s="31" t="s">
        <v>167</v>
      </c>
      <c r="C6" s="33" t="n">
        <v>103.6</v>
      </c>
      <c r="D6" s="34" t="n">
        <v>0.25</v>
      </c>
      <c r="E6" s="34" t="n">
        <v>0.72</v>
      </c>
      <c r="F6" s="33" t="n">
        <v>119.4</v>
      </c>
      <c r="G6" s="33" t="n">
        <v>27.5</v>
      </c>
      <c r="H6" s="33" t="n">
        <v>14</v>
      </c>
    </row>
    <row r="7" customFormat="false" ht="15" hidden="false" customHeight="false" outlineLevel="0" collapsed="false">
      <c r="A7" s="31" t="s">
        <v>121</v>
      </c>
      <c r="B7" s="31" t="s">
        <v>168</v>
      </c>
      <c r="C7" s="33" t="n">
        <v>101.1</v>
      </c>
      <c r="D7" s="34" t="n">
        <v>0.27</v>
      </c>
      <c r="E7" s="34" t="n">
        <v>0.74</v>
      </c>
      <c r="F7" s="33" t="n">
        <v>112.4</v>
      </c>
      <c r="G7" s="33" t="n">
        <v>25.5</v>
      </c>
      <c r="H7" s="33" t="n">
        <v>13.5</v>
      </c>
    </row>
    <row r="8" customFormat="false" ht="15" hidden="false" customHeight="false" outlineLevel="0" collapsed="false">
      <c r="A8" s="31" t="s">
        <v>137</v>
      </c>
      <c r="B8" s="31" t="s">
        <v>169</v>
      </c>
      <c r="C8" s="33" t="n">
        <v>100.8</v>
      </c>
      <c r="D8" s="34" t="n">
        <v>0.27</v>
      </c>
      <c r="E8" s="34" t="n">
        <v>0.73</v>
      </c>
      <c r="F8" s="33" t="n">
        <v>115.4</v>
      </c>
      <c r="G8" s="33" t="n">
        <v>25.5</v>
      </c>
      <c r="H8" s="33" t="n">
        <v>13.4</v>
      </c>
    </row>
    <row r="9" customFormat="false" ht="15" hidden="false" customHeight="false" outlineLevel="0" collapsed="false">
      <c r="A9" s="31" t="s">
        <v>108</v>
      </c>
      <c r="B9" s="31" t="s">
        <v>170</v>
      </c>
      <c r="C9" s="33" t="n">
        <v>101</v>
      </c>
      <c r="D9" s="34" t="n">
        <v>0.3</v>
      </c>
      <c r="E9" s="34" t="n">
        <v>0.73</v>
      </c>
      <c r="F9" s="33" t="n">
        <v>116.9</v>
      </c>
      <c r="G9" s="33" t="n">
        <v>27.5</v>
      </c>
      <c r="H9" s="33" t="n">
        <v>13.2</v>
      </c>
    </row>
    <row r="10" customFormat="false" ht="15" hidden="false" customHeight="false" outlineLevel="0" collapsed="false">
      <c r="A10" s="31" t="s">
        <v>119</v>
      </c>
      <c r="B10" s="31" t="s">
        <v>171</v>
      </c>
      <c r="C10" s="33" t="n">
        <v>100.5</v>
      </c>
      <c r="D10" s="34" t="n">
        <v>0.3</v>
      </c>
      <c r="E10" s="34" t="n">
        <v>0.73</v>
      </c>
      <c r="F10" s="33" t="n">
        <v>113.6</v>
      </c>
      <c r="G10" s="33" t="n">
        <v>25.8</v>
      </c>
      <c r="H10" s="33" t="n">
        <v>12.9</v>
      </c>
    </row>
    <row r="11" customFormat="false" ht="15" hidden="false" customHeight="false" outlineLevel="0" collapsed="false">
      <c r="A11" s="31" t="s">
        <v>123</v>
      </c>
      <c r="B11" s="31" t="s">
        <v>172</v>
      </c>
      <c r="C11" s="33" t="n">
        <v>100.4</v>
      </c>
      <c r="D11" s="34" t="n">
        <v>0.3</v>
      </c>
      <c r="E11" s="34" t="n">
        <v>0.71</v>
      </c>
      <c r="F11" s="33" t="n">
        <v>110.5</v>
      </c>
      <c r="G11" s="33" t="n">
        <v>26.4</v>
      </c>
      <c r="H11" s="33" t="n">
        <v>13.1</v>
      </c>
    </row>
    <row r="12" customFormat="false" ht="15" hidden="false" customHeight="false" outlineLevel="0" collapsed="false">
      <c r="A12" s="31" t="s">
        <v>148</v>
      </c>
      <c r="B12" s="31" t="s">
        <v>173</v>
      </c>
      <c r="C12" s="33" t="n">
        <v>98</v>
      </c>
      <c r="D12" s="34" t="n">
        <v>0.35</v>
      </c>
      <c r="E12" s="34" t="n">
        <v>0.73</v>
      </c>
      <c r="F12" s="33" t="n">
        <v>109.8</v>
      </c>
      <c r="G12" s="33" t="n">
        <v>24.2</v>
      </c>
      <c r="H12" s="33" t="n">
        <v>12.5</v>
      </c>
    </row>
    <row r="13" customFormat="false" ht="15" hidden="false" customHeight="false" outlineLevel="0" collapsed="false">
      <c r="A13" s="31" t="s">
        <v>174</v>
      </c>
      <c r="B13" s="31" t="s">
        <v>175</v>
      </c>
      <c r="C13" s="33" t="n">
        <v>100</v>
      </c>
      <c r="D13" s="34" t="n">
        <v>0.25</v>
      </c>
      <c r="E13" s="34" t="n">
        <v>0.72</v>
      </c>
      <c r="F13" s="33" t="n">
        <v>115.1</v>
      </c>
      <c r="G13" s="33" t="n">
        <v>26.7</v>
      </c>
      <c r="H13" s="33" t="n">
        <v>12.9</v>
      </c>
    </row>
    <row r="14" customFormat="false" ht="15" hidden="false" customHeight="false" outlineLevel="0" collapsed="false">
      <c r="A14" s="31" t="s">
        <v>150</v>
      </c>
      <c r="B14" s="31" t="s">
        <v>176</v>
      </c>
      <c r="C14" s="33" t="n">
        <v>97.9</v>
      </c>
      <c r="D14" s="34" t="n">
        <v>0.26</v>
      </c>
      <c r="E14" s="34" t="n">
        <v>0.74</v>
      </c>
      <c r="F14" s="33" t="n">
        <v>108.2</v>
      </c>
      <c r="G14" s="33" t="n">
        <v>24.6</v>
      </c>
      <c r="H14" s="33" t="n">
        <v>12.4</v>
      </c>
    </row>
    <row r="15" customFormat="false" ht="15" hidden="false" customHeight="false" outlineLevel="0" collapsed="false">
      <c r="A15" s="31" t="s">
        <v>110</v>
      </c>
      <c r="B15" s="31" t="s">
        <v>177</v>
      </c>
      <c r="C15" s="33" t="n">
        <v>98.8</v>
      </c>
      <c r="D15" s="34" t="n">
        <v>0.25</v>
      </c>
      <c r="E15" s="34" t="n">
        <v>0.73</v>
      </c>
      <c r="F15" s="33" t="n">
        <v>112.2</v>
      </c>
      <c r="G15" s="33" t="n">
        <v>26.2</v>
      </c>
      <c r="H15" s="33" t="n">
        <v>13.6</v>
      </c>
    </row>
    <row r="16" customFormat="false" ht="15" hidden="false" customHeight="false" outlineLevel="0" collapsed="false">
      <c r="A16" s="31" t="s">
        <v>143</v>
      </c>
      <c r="B16" s="31" t="s">
        <v>178</v>
      </c>
      <c r="C16" s="33" t="n">
        <v>104.9</v>
      </c>
      <c r="D16" s="34" t="n">
        <v>0.3</v>
      </c>
      <c r="E16" s="34" t="n">
        <v>0.73</v>
      </c>
      <c r="F16" s="33" t="n">
        <v>116.9</v>
      </c>
      <c r="G16" s="33" t="n">
        <v>26.6</v>
      </c>
      <c r="H16" s="33" t="n">
        <v>13.8</v>
      </c>
    </row>
    <row r="17" customFormat="false" ht="15" hidden="false" customHeight="false" outlineLevel="0" collapsed="false">
      <c r="A17" s="31" t="s">
        <v>179</v>
      </c>
      <c r="B17" s="31" t="s">
        <v>180</v>
      </c>
      <c r="C17" s="33" t="n">
        <v>97.3</v>
      </c>
      <c r="D17" s="34" t="n">
        <v>0.26</v>
      </c>
      <c r="E17" s="34" t="n">
        <v>0.74</v>
      </c>
      <c r="F17" s="33" t="n">
        <v>110</v>
      </c>
      <c r="G17" s="33" t="n">
        <v>25.4</v>
      </c>
      <c r="H17" s="33" t="n">
        <v>13.5</v>
      </c>
    </row>
    <row r="18" customFormat="false" ht="15" hidden="false" customHeight="false" outlineLevel="0" collapsed="false">
      <c r="A18" s="31" t="s">
        <v>106</v>
      </c>
      <c r="B18" s="31" t="s">
        <v>181</v>
      </c>
      <c r="C18" s="33" t="n">
        <v>99.6</v>
      </c>
      <c r="D18" s="34" t="n">
        <v>0.26</v>
      </c>
      <c r="E18" s="34" t="n">
        <v>0.74</v>
      </c>
      <c r="F18" s="33" t="n">
        <v>111.8</v>
      </c>
      <c r="G18" s="33" t="n">
        <v>26</v>
      </c>
      <c r="H18" s="33" t="n">
        <v>13.4</v>
      </c>
    </row>
    <row r="19" customFormat="false" ht="15" hidden="false" customHeight="false" outlineLevel="0" collapsed="false">
      <c r="A19" s="31" t="s">
        <v>113</v>
      </c>
      <c r="B19" s="31" t="s">
        <v>182</v>
      </c>
      <c r="C19" s="33" t="n">
        <v>97.4</v>
      </c>
      <c r="D19" s="34" t="n">
        <v>0.28</v>
      </c>
      <c r="E19" s="34" t="n">
        <v>0.73</v>
      </c>
      <c r="F19" s="33" t="n">
        <v>109.3</v>
      </c>
      <c r="G19" s="33" t="n">
        <v>24.9</v>
      </c>
      <c r="H19" s="33" t="n">
        <v>12.8</v>
      </c>
    </row>
    <row r="20" customFormat="false" ht="15" hidden="false" customHeight="false" outlineLevel="0" collapsed="false">
      <c r="A20" s="31" t="s">
        <v>146</v>
      </c>
      <c r="B20" s="31" t="s">
        <v>183</v>
      </c>
      <c r="C20" s="33" t="n">
        <v>99.7</v>
      </c>
      <c r="D20" s="34" t="n">
        <v>0.29</v>
      </c>
      <c r="E20" s="34" t="n">
        <v>0.7</v>
      </c>
      <c r="F20" s="33" t="n">
        <v>119.3</v>
      </c>
      <c r="G20" s="33" t="n">
        <v>28.5</v>
      </c>
      <c r="H20" s="33" t="n">
        <v>14</v>
      </c>
    </row>
    <row r="21" customFormat="false" ht="15" hidden="false" customHeight="false" outlineLevel="0" collapsed="false">
      <c r="A21" s="31" t="s">
        <v>130</v>
      </c>
      <c r="B21" s="31" t="s">
        <v>184</v>
      </c>
      <c r="C21" s="33" t="n">
        <v>97.4</v>
      </c>
      <c r="D21" s="34" t="n">
        <v>0.29</v>
      </c>
      <c r="E21" s="34" t="n">
        <v>0.72</v>
      </c>
      <c r="F21" s="33" t="n">
        <v>111.7</v>
      </c>
      <c r="G21" s="33" t="n">
        <v>25.9</v>
      </c>
      <c r="H21" s="33" t="n">
        <v>13</v>
      </c>
    </row>
    <row r="22" customFormat="false" ht="15" hidden="false" customHeight="false" outlineLevel="0" collapsed="false">
      <c r="A22" s="31" t="s">
        <v>104</v>
      </c>
      <c r="B22" s="31" t="s">
        <v>185</v>
      </c>
      <c r="C22" s="33" t="n">
        <v>100.9</v>
      </c>
      <c r="D22" s="34" t="n">
        <v>0.28</v>
      </c>
      <c r="E22" s="34" t="n">
        <v>0.72</v>
      </c>
      <c r="F22" s="33" t="n">
        <v>107.6</v>
      </c>
      <c r="G22" s="33" t="n">
        <v>24.4</v>
      </c>
      <c r="H22" s="33" t="n">
        <v>12.9</v>
      </c>
    </row>
    <row r="23" customFormat="false" ht="15" hidden="false" customHeight="false" outlineLevel="0" collapsed="false">
      <c r="A23" s="31" t="s">
        <v>139</v>
      </c>
      <c r="B23" s="31" t="s">
        <v>186</v>
      </c>
      <c r="C23" s="33" t="n">
        <v>96.9</v>
      </c>
      <c r="D23" s="34" t="n">
        <v>0.29</v>
      </c>
      <c r="E23" s="34" t="n">
        <v>0.73</v>
      </c>
      <c r="F23" s="33" t="n">
        <v>105.5</v>
      </c>
      <c r="G23" s="33" t="n">
        <v>23.6</v>
      </c>
      <c r="H23" s="33" t="n">
        <v>11.5</v>
      </c>
    </row>
    <row r="24" customFormat="false" ht="15" hidden="false" customHeight="false" outlineLevel="0" collapsed="false">
      <c r="A24" s="31" t="s">
        <v>128</v>
      </c>
      <c r="B24" s="31" t="s">
        <v>187</v>
      </c>
      <c r="C24" s="33" t="n">
        <v>98.5</v>
      </c>
      <c r="D24" s="34" t="n">
        <v>0.26</v>
      </c>
      <c r="E24" s="34" t="n">
        <v>0.71</v>
      </c>
      <c r="F24" s="33" t="n">
        <v>115.8</v>
      </c>
      <c r="G24" s="33" t="n">
        <v>27.1</v>
      </c>
      <c r="H24" s="33" t="n">
        <v>13.6</v>
      </c>
    </row>
    <row r="25" customFormat="false" ht="15" hidden="false" customHeight="false" outlineLevel="0" collapsed="false">
      <c r="A25" s="31" t="s">
        <v>117</v>
      </c>
      <c r="B25" s="31" t="s">
        <v>188</v>
      </c>
      <c r="C25" s="33" t="n">
        <v>98.7</v>
      </c>
      <c r="D25" s="34" t="n">
        <v>0.26</v>
      </c>
      <c r="E25" s="34" t="n">
        <v>0.73</v>
      </c>
      <c r="F25" s="33" t="n">
        <v>116.6</v>
      </c>
      <c r="G25" s="33" t="n">
        <v>27</v>
      </c>
      <c r="H25" s="33" t="n">
        <v>13.8</v>
      </c>
    </row>
    <row r="26" customFormat="false" ht="15" hidden="false" customHeight="false" outlineLevel="0" collapsed="false">
      <c r="A26" s="31" t="s">
        <v>189</v>
      </c>
      <c r="B26" s="31" t="s">
        <v>190</v>
      </c>
      <c r="C26" s="33" t="n">
        <v>99</v>
      </c>
      <c r="D26" s="34" t="n">
        <v>0.32</v>
      </c>
      <c r="E26" s="34" t="n">
        <v>0.71</v>
      </c>
      <c r="F26" s="33" t="n">
        <v>113.9</v>
      </c>
      <c r="G26" s="33" t="n">
        <v>26.4</v>
      </c>
      <c r="H26" s="33" t="n">
        <v>13</v>
      </c>
    </row>
    <row r="27" customFormat="false" ht="15" hidden="false" customHeight="false" outlineLevel="0" collapsed="false">
      <c r="A27" s="31" t="s">
        <v>141</v>
      </c>
      <c r="B27" s="31" t="s">
        <v>191</v>
      </c>
      <c r="C27" s="33" t="n">
        <v>99.6</v>
      </c>
      <c r="D27" s="34" t="n">
        <v>0.27</v>
      </c>
      <c r="E27" s="34" t="n">
        <v>0.73</v>
      </c>
      <c r="F27" s="33" t="n">
        <v>115.3</v>
      </c>
      <c r="G27" s="33" t="n">
        <v>26.6</v>
      </c>
      <c r="H27" s="33" t="n">
        <v>13.6</v>
      </c>
    </row>
    <row r="28" customFormat="false" ht="15" hidden="false" customHeight="false" outlineLevel="0" collapsed="false">
      <c r="A28" s="31" t="s">
        <v>126</v>
      </c>
      <c r="B28" s="31" t="s">
        <v>192</v>
      </c>
      <c r="C28" s="33" t="n">
        <v>100.7</v>
      </c>
      <c r="D28" s="34" t="n">
        <v>0.27</v>
      </c>
      <c r="E28" s="34" t="n">
        <v>0.73</v>
      </c>
      <c r="F28" s="33" t="n">
        <v>116.7</v>
      </c>
      <c r="G28" s="33" t="n">
        <v>27.4</v>
      </c>
      <c r="H28" s="33" t="n">
        <v>13.8</v>
      </c>
    </row>
    <row r="29" customFormat="false" ht="15" hidden="false" customHeight="false" outlineLevel="0" collapsed="false">
      <c r="A29" s="31" t="s">
        <v>193</v>
      </c>
      <c r="B29" s="31" t="s">
        <v>194</v>
      </c>
      <c r="C29" s="33" t="n">
        <v>100.3</v>
      </c>
      <c r="D29" s="34" t="n">
        <v>0.29</v>
      </c>
      <c r="E29" s="34" t="n">
        <v>0.71</v>
      </c>
      <c r="F29" s="33" t="n">
        <v>115.2</v>
      </c>
      <c r="G29" s="33" t="n">
        <v>26.5</v>
      </c>
      <c r="H29" s="33" t="n">
        <v>13.2</v>
      </c>
    </row>
    <row r="30" customFormat="false" ht="15" hidden="false" customHeight="false" outlineLevel="0" collapsed="false">
      <c r="A30" s="31" t="s">
        <v>195</v>
      </c>
      <c r="B30" s="31" t="s">
        <v>196</v>
      </c>
      <c r="C30" s="33" t="n">
        <v>100.6</v>
      </c>
      <c r="D30" s="34" t="n">
        <v>0.3</v>
      </c>
      <c r="E30" s="34" t="n">
        <v>0.69</v>
      </c>
      <c r="F30" s="33" t="n">
        <v>121.2</v>
      </c>
      <c r="G30" s="33" t="n">
        <v>29.5</v>
      </c>
      <c r="H30" s="33" t="n">
        <v>14.4</v>
      </c>
    </row>
    <row r="31" customFormat="false" ht="15" hidden="false" customHeight="false" outlineLevel="0" collapsed="false">
      <c r="A31" s="31" t="s">
        <v>197</v>
      </c>
      <c r="B31" s="31" t="s">
        <v>4</v>
      </c>
      <c r="C31" s="33" t="n">
        <v>100.9</v>
      </c>
      <c r="D31" s="34" t="n">
        <v>0.27</v>
      </c>
      <c r="E31" s="34" t="n">
        <v>0.7</v>
      </c>
      <c r="F31" s="33" t="n">
        <v>120.4</v>
      </c>
      <c r="G31" s="33" t="n">
        <v>28.4</v>
      </c>
      <c r="H31" s="33" t="n">
        <v>14.2</v>
      </c>
    </row>
    <row r="33" customFormat="false" ht="15" hidden="false" customHeight="false" outlineLevel="0" collapsed="false">
      <c r="A33" s="26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5" t="s">
        <v>199</v>
      </c>
      <c r="B1" s="35" t="s">
        <v>200</v>
      </c>
      <c r="C1" s="35" t="s">
        <v>201</v>
      </c>
    </row>
    <row r="2" customFormat="false" ht="15" hidden="false" customHeight="false" outlineLevel="0" collapsed="false">
      <c r="A2" s="36" t="s">
        <v>202</v>
      </c>
      <c r="B2" s="37" t="n">
        <v>0.01</v>
      </c>
      <c r="C2" s="26" t="s">
        <v>203</v>
      </c>
    </row>
    <row r="3" customFormat="false" ht="15" hidden="false" customHeight="false" outlineLevel="0" collapsed="false">
      <c r="A3" s="36" t="s">
        <v>204</v>
      </c>
      <c r="B3" s="37" t="n">
        <v>0.05</v>
      </c>
      <c r="C3" s="26" t="s">
        <v>205</v>
      </c>
    </row>
    <row r="4" customFormat="false" ht="15" hidden="false" customHeight="false" outlineLevel="0" collapsed="false">
      <c r="A4" s="36" t="s">
        <v>206</v>
      </c>
      <c r="B4" s="38" t="n">
        <v>0.25</v>
      </c>
      <c r="C4" s="26" t="s">
        <v>207</v>
      </c>
    </row>
    <row r="5" customFormat="false" ht="15" hidden="false" customHeight="false" outlineLevel="0" collapsed="false">
      <c r="A5" s="36" t="s">
        <v>208</v>
      </c>
      <c r="B5" s="38" t="n">
        <v>0.35</v>
      </c>
      <c r="C5" s="26"/>
    </row>
    <row r="6" customFormat="false" ht="15" hidden="false" customHeight="false" outlineLevel="0" collapsed="false">
      <c r="A6" s="36" t="s">
        <v>209</v>
      </c>
      <c r="B6" s="38" t="n">
        <v>0.4</v>
      </c>
      <c r="C6" s="26"/>
    </row>
    <row r="7" customFormat="false" ht="15" hidden="false" customHeight="false" outlineLevel="0" collapsed="false">
      <c r="A7" s="36" t="s">
        <v>210</v>
      </c>
      <c r="B7" s="38" t="n">
        <v>0.6</v>
      </c>
      <c r="C7" s="26"/>
    </row>
    <row r="8" customFormat="false" ht="15" hidden="false" customHeight="false" outlineLevel="0" collapsed="false">
      <c r="A8" s="36" t="s">
        <v>211</v>
      </c>
      <c r="B8" s="38" t="n">
        <v>0.2</v>
      </c>
      <c r="C8" s="26"/>
    </row>
    <row r="9" customFormat="false" ht="15" hidden="false" customHeight="false" outlineLevel="0" collapsed="false">
      <c r="A9" s="36" t="s">
        <v>212</v>
      </c>
      <c r="B9" s="38" t="n">
        <v>0.23</v>
      </c>
      <c r="C9" s="26"/>
    </row>
    <row r="10" customFormat="false" ht="15" hidden="false" customHeight="false" outlineLevel="0" collapsed="false">
      <c r="A10" s="36" t="s">
        <v>213</v>
      </c>
      <c r="B10" s="38" t="n">
        <v>0.23</v>
      </c>
      <c r="C10" s="26"/>
    </row>
    <row r="11" customFormat="false" ht="15" hidden="false" customHeight="false" outlineLevel="0" collapsed="false">
      <c r="A11" s="36" t="s">
        <v>214</v>
      </c>
      <c r="B11" s="38" t="n">
        <v>0.3</v>
      </c>
      <c r="C11" s="26"/>
    </row>
    <row r="12" customFormat="false" ht="15" hidden="false" customHeight="false" outlineLevel="0" collapsed="false">
      <c r="A12" s="36" t="s">
        <v>215</v>
      </c>
      <c r="B12" s="38" t="n">
        <v>0.8</v>
      </c>
      <c r="C12" s="26"/>
    </row>
    <row r="13" customFormat="false" ht="15" hidden="false" customHeight="false" outlineLevel="0" collapsed="false">
      <c r="A13" s="36" t="s">
        <v>216</v>
      </c>
      <c r="B13" s="38" t="n">
        <v>0.8</v>
      </c>
      <c r="C13" s="26"/>
    </row>
    <row r="16" customFormat="false" ht="15" hidden="false" customHeight="false" outlineLevel="0" collapsed="false">
      <c r="A16" s="7" t="s">
        <v>217</v>
      </c>
    </row>
    <row r="17" customFormat="false" ht="15" hidden="false" customHeight="false" outlineLevel="0" collapsed="false">
      <c r="A17" s="36" t="s">
        <v>218</v>
      </c>
      <c r="B17" s="39" t="n">
        <f aca="false">AVERAGE('Stats Equipos'!C2:C31)</f>
        <v>99.69</v>
      </c>
    </row>
    <row r="18" customFormat="false" ht="15" hidden="false" customHeight="false" outlineLevel="0" collapsed="false">
      <c r="A18" s="36" t="s">
        <v>219</v>
      </c>
      <c r="B18" s="40" t="n">
        <f aca="false">AVERAGE('Stats Equipos'!D2:D31)</f>
        <v>0.279333333333333</v>
      </c>
    </row>
    <row r="19" customFormat="false" ht="15" hidden="false" customHeight="false" outlineLevel="0" collapsed="false">
      <c r="A19" s="36" t="s">
        <v>220</v>
      </c>
      <c r="B19" s="40" t="n">
        <f aca="false">AVERAGE('Stats Equipos'!E2:E31)</f>
        <v>0.722666666666667</v>
      </c>
    </row>
    <row r="20" customFormat="false" ht="15" hidden="false" customHeight="false" outlineLevel="0" collapsed="false">
      <c r="A20" s="36" t="s">
        <v>221</v>
      </c>
      <c r="B20" s="41" t="n">
        <f aca="false">SUMPRODUCT('Stats Equipos'!F2:F31/'Stats Equipos'!C2:C31)/30</f>
        <v>1.14133104878689</v>
      </c>
    </row>
    <row r="21" customFormat="false" ht="15" hidden="false" customHeight="false" outlineLevel="0" collapsed="false">
      <c r="A21" s="36" t="s">
        <v>222</v>
      </c>
      <c r="B21" s="41" t="n">
        <f aca="false">SUMPRODUCT('Stats Equipos'!G2:G31/'Stats Equipos'!C2:C31)/30</f>
        <v>0.263985085421214</v>
      </c>
    </row>
    <row r="22" customFormat="false" ht="15" hidden="false" customHeight="false" outlineLevel="0" collapsed="false">
      <c r="A22" s="36" t="s">
        <v>223</v>
      </c>
      <c r="B22" s="41" t="n">
        <f aca="false">SUMPRODUCT('Stats Equipos'!H2:H31/'Stats Equipos'!C2:C31)/30</f>
        <v>0.133576643432482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2026-10-23T13:43:25Z</dcterms:created>
  <dc:creator>openpyxl</dc:creator>
  <dc:description/>
  <dc:language>en-US</dc:language>
  <cp:lastModifiedBy/>
  <dcterms:modified xsi:type="dcterms:W3CDTF">2026-10-23T13:43:25Z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